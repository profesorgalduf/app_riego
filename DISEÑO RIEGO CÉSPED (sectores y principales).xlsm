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Datos y Resultado" sheetId="1" r:id="rId1"/>
    <sheet name="calculos" sheetId="2" r:id="rId2"/>
    <sheet name="PE" sheetId="6" r:id="rId3"/>
    <sheet name="Hoja1" sheetId="9" r:id="rId4"/>
    <sheet name="PE principal" sheetId="7" r:id="rId5"/>
    <sheet name="PE principal2" sheetId="8" r:id="rId6"/>
    <sheet name="Cristiansen" sheetId="4" r:id="rId7"/>
    <sheet name="Materiales" sheetId="5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2" l="1"/>
  <c r="B45" i="2"/>
  <c r="F6" i="2"/>
  <c r="F54" i="1" l="1"/>
  <c r="D52" i="8" l="1"/>
  <c r="D51" i="8"/>
  <c r="D50" i="8"/>
  <c r="D49" i="8"/>
  <c r="D48" i="8"/>
  <c r="D47" i="8"/>
  <c r="D46" i="8"/>
  <c r="D45" i="8"/>
  <c r="D44" i="8"/>
  <c r="D43" i="8"/>
  <c r="D42" i="8"/>
  <c r="D41" i="8"/>
  <c r="A2" i="8"/>
  <c r="B43" i="2"/>
  <c r="B42" i="2"/>
  <c r="B39" i="2"/>
  <c r="B22" i="2"/>
  <c r="F29" i="2"/>
  <c r="F25" i="2" l="1"/>
  <c r="F23" i="2"/>
  <c r="F22" i="2"/>
  <c r="B25" i="2" l="1"/>
  <c r="B30" i="2"/>
  <c r="D52" i="7"/>
  <c r="D51" i="7"/>
  <c r="D50" i="7"/>
  <c r="D49" i="7"/>
  <c r="D48" i="7"/>
  <c r="D47" i="7"/>
  <c r="D46" i="7"/>
  <c r="D45" i="7"/>
  <c r="D44" i="7"/>
  <c r="D43" i="7"/>
  <c r="D42" i="7"/>
  <c r="D41" i="7"/>
  <c r="A2" i="7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D14" i="2"/>
  <c r="F5" i="2"/>
  <c r="F3" i="2"/>
  <c r="B14" i="2"/>
  <c r="B2" i="4"/>
  <c r="E2" i="4"/>
  <c r="C2" i="4"/>
  <c r="D2" i="4" s="1"/>
  <c r="F2" i="2"/>
  <c r="A2" i="6"/>
  <c r="D42" i="6"/>
  <c r="D43" i="6"/>
  <c r="D44" i="6"/>
  <c r="D45" i="6"/>
  <c r="D46" i="6"/>
  <c r="D47" i="6"/>
  <c r="D48" i="6"/>
  <c r="D49" i="6"/>
  <c r="D50" i="6"/>
  <c r="D51" i="6"/>
  <c r="D52" i="6"/>
  <c r="D41" i="6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C25" i="4"/>
  <c r="D20" i="4"/>
  <c r="C23" i="4"/>
  <c r="B26" i="4"/>
  <c r="B19" i="4"/>
  <c r="E17" i="4"/>
  <c r="D16" i="4"/>
  <c r="E27" i="4"/>
  <c r="D18" i="4"/>
  <c r="D13" i="4"/>
  <c r="B16" i="4"/>
  <c r="D21" i="4"/>
  <c r="D15" i="4"/>
  <c r="C9" i="4"/>
  <c r="D25" i="4"/>
  <c r="C17" i="4"/>
  <c r="C13" i="4"/>
  <c r="D10" i="4"/>
  <c r="C21" i="4"/>
  <c r="E9" i="4"/>
  <c r="E16" i="4"/>
  <c r="D23" i="4"/>
  <c r="D14" i="4"/>
  <c r="E19" i="4"/>
  <c r="C16" i="4"/>
  <c r="D27" i="4"/>
  <c r="B14" i="4"/>
  <c r="C11" i="4"/>
  <c r="E14" i="4"/>
  <c r="D12" i="4"/>
  <c r="C14" i="4"/>
  <c r="B12" i="4"/>
  <c r="E12" i="4"/>
  <c r="E26" i="4"/>
  <c r="C15" i="4"/>
  <c r="B10" i="4"/>
  <c r="C19" i="4"/>
  <c r="D17" i="4"/>
  <c r="C12" i="4"/>
  <c r="E23" i="4"/>
  <c r="B17" i="4"/>
  <c r="C26" i="4"/>
  <c r="B15" i="4"/>
  <c r="B27" i="4"/>
  <c r="E10" i="4"/>
  <c r="E24" i="4"/>
  <c r="D8" i="4"/>
  <c r="D26" i="4"/>
  <c r="C10" i="4"/>
  <c r="C24" i="4"/>
  <c r="B24" i="4"/>
  <c r="D11" i="4"/>
  <c r="B11" i="4"/>
  <c r="B8" i="4"/>
  <c r="E20" i="4"/>
  <c r="D22" i="4"/>
  <c r="C20" i="4"/>
  <c r="B9" i="4"/>
  <c r="E18" i="4"/>
  <c r="C18" i="4"/>
  <c r="B13" i="4"/>
  <c r="B25" i="4"/>
  <c r="E8" i="4"/>
  <c r="E22" i="4"/>
  <c r="C8" i="4"/>
  <c r="D24" i="4"/>
  <c r="B22" i="4"/>
  <c r="C22" i="4"/>
  <c r="E11" i="4"/>
  <c r="D19" i="4"/>
  <c r="C27" i="4"/>
  <c r="B23" i="4"/>
  <c r="B20" i="4"/>
  <c r="E13" i="4"/>
  <c r="E21" i="4"/>
  <c r="B21" i="4"/>
  <c r="B18" i="4"/>
  <c r="E15" i="4"/>
  <c r="E25" i="4"/>
  <c r="D9" i="4"/>
  <c r="F8" i="1" l="1"/>
  <c r="F7" i="1"/>
  <c r="F4" i="2"/>
  <c r="B13" i="2"/>
  <c r="B15" i="2" s="1"/>
  <c r="B12" i="2"/>
  <c r="D12" i="2" s="1"/>
  <c r="B5" i="2"/>
  <c r="B7" i="2" s="1"/>
  <c r="B52" i="1" s="1"/>
  <c r="F7" i="2"/>
  <c r="F14" i="1" l="1"/>
  <c r="B26" i="1"/>
  <c r="B41" i="1" s="1"/>
  <c r="B7" i="1"/>
  <c r="B6" i="2"/>
  <c r="B8" i="2"/>
  <c r="C8" i="2" s="1"/>
  <c r="C7" i="2" l="1"/>
  <c r="B24" i="2" l="1"/>
  <c r="F28" i="2" s="1"/>
  <c r="B41" i="2"/>
  <c r="D13" i="2"/>
  <c r="D15" i="2" s="1"/>
  <c r="B26" i="2" l="1"/>
  <c r="F4" i="1"/>
  <c r="C1" i="7" l="1"/>
  <c r="F23" i="1"/>
  <c r="C1" i="6"/>
  <c r="C23" i="6" s="1"/>
  <c r="M1" i="6"/>
  <c r="S1" i="6"/>
  <c r="K1" i="6"/>
  <c r="Y1" i="6"/>
  <c r="Q1" i="6"/>
  <c r="G1" i="5"/>
  <c r="G16" i="5" s="1"/>
  <c r="W1" i="6"/>
  <c r="U1" i="6"/>
  <c r="O1" i="6"/>
  <c r="E1" i="6"/>
  <c r="I1" i="6"/>
  <c r="G1" i="6"/>
  <c r="E9" i="6" l="1"/>
  <c r="U32" i="7"/>
  <c r="I34" i="7"/>
  <c r="K13" i="7"/>
  <c r="U8" i="7"/>
  <c r="O8" i="7"/>
  <c r="Q12" i="7"/>
  <c r="E15" i="7"/>
  <c r="I28" i="7"/>
  <c r="Y37" i="7"/>
  <c r="E27" i="7"/>
  <c r="M25" i="7"/>
  <c r="W32" i="7"/>
  <c r="W19" i="7"/>
  <c r="C19" i="7"/>
  <c r="C28" i="7"/>
  <c r="W33" i="7"/>
  <c r="O33" i="7"/>
  <c r="G9" i="7"/>
  <c r="O35" i="7"/>
  <c r="C13" i="7"/>
  <c r="C22" i="7"/>
  <c r="W21" i="7"/>
  <c r="O21" i="7"/>
  <c r="U27" i="7"/>
  <c r="Y11" i="7"/>
  <c r="S17" i="7"/>
  <c r="S26" i="7"/>
  <c r="G31" i="7"/>
  <c r="W30" i="7"/>
  <c r="E37" i="7"/>
  <c r="M22" i="7"/>
  <c r="S11" i="7"/>
  <c r="S20" i="7"/>
  <c r="G19" i="7"/>
  <c r="W18" i="7"/>
  <c r="E25" i="7"/>
  <c r="E30" i="7"/>
  <c r="Y1" i="7"/>
  <c r="Q35" i="7"/>
  <c r="S14" i="7"/>
  <c r="O10" i="7"/>
  <c r="I10" i="7"/>
  <c r="M14" i="7"/>
  <c r="Q16" i="7"/>
  <c r="C21" i="7"/>
  <c r="K19" i="7"/>
  <c r="U30" i="7"/>
  <c r="O30" i="7"/>
  <c r="Q28" i="7"/>
  <c r="Q1" i="7"/>
  <c r="C18" i="7"/>
  <c r="U14" i="7"/>
  <c r="I16" i="7"/>
  <c r="Q11" i="7"/>
  <c r="M15" i="7"/>
  <c r="I25" i="7"/>
  <c r="K31" i="7"/>
  <c r="M9" i="7"/>
  <c r="G28" i="7"/>
  <c r="S18" i="7"/>
  <c r="S12" i="7"/>
  <c r="E28" i="7"/>
  <c r="I21" i="7"/>
  <c r="E18" i="7"/>
  <c r="G27" i="7"/>
  <c r="O11" i="7"/>
  <c r="O29" i="7"/>
  <c r="C20" i="7"/>
  <c r="E19" i="7"/>
  <c r="I13" i="7"/>
  <c r="Y28" i="7"/>
  <c r="C8" i="7"/>
  <c r="M28" i="7"/>
  <c r="U26" i="7"/>
  <c r="G34" i="7"/>
  <c r="S35" i="7"/>
  <c r="I22" i="7"/>
  <c r="Q32" i="7"/>
  <c r="U16" i="7"/>
  <c r="Y8" i="7"/>
  <c r="G22" i="7"/>
  <c r="O13" i="7"/>
  <c r="S13" i="7"/>
  <c r="S22" i="7"/>
  <c r="G23" i="7"/>
  <c r="W22" i="7"/>
  <c r="E29" i="7"/>
  <c r="G1" i="7"/>
  <c r="Q37" i="7"/>
  <c r="S16" i="7"/>
  <c r="G13" i="7"/>
  <c r="Y12" i="7"/>
  <c r="I17" i="7"/>
  <c r="U36" i="7"/>
  <c r="K12" i="7"/>
  <c r="K21" i="7"/>
  <c r="O20" i="7"/>
  <c r="G20" i="7"/>
  <c r="M26" i="7"/>
  <c r="I1" i="7"/>
  <c r="I36" i="7"/>
  <c r="K15" i="7"/>
  <c r="M11" i="7"/>
  <c r="G11" i="7"/>
  <c r="I15" i="7"/>
  <c r="I24" i="7"/>
  <c r="E34" i="7"/>
  <c r="I30" i="7"/>
  <c r="K9" i="7"/>
  <c r="E31" i="7"/>
  <c r="W36" i="7"/>
  <c r="S15" i="7"/>
  <c r="I18" i="7"/>
  <c r="U31" i="7"/>
  <c r="U28" i="7"/>
  <c r="I19" i="7"/>
  <c r="O28" i="7"/>
  <c r="E21" i="7"/>
  <c r="K24" i="7"/>
  <c r="K18" i="7"/>
  <c r="C23" i="7"/>
  <c r="C17" i="7"/>
  <c r="W11" i="7"/>
  <c r="K26" i="7"/>
  <c r="M23" i="7"/>
  <c r="K36" i="7"/>
  <c r="Y22" i="7"/>
  <c r="I33" i="7"/>
  <c r="W17" i="7"/>
  <c r="I9" i="7"/>
  <c r="O23" i="7"/>
  <c r="K30" i="7"/>
  <c r="Y16" i="7"/>
  <c r="I27" i="7"/>
  <c r="O9" i="7"/>
  <c r="W27" i="7"/>
  <c r="O12" i="7"/>
  <c r="S1" i="7"/>
  <c r="K8" i="7"/>
  <c r="K17" i="7"/>
  <c r="E14" i="7"/>
  <c r="W13" i="7"/>
  <c r="M18" i="7"/>
  <c r="M27" i="7"/>
  <c r="I32" i="7"/>
  <c r="K11" i="7"/>
  <c r="E35" i="7"/>
  <c r="U34" i="7"/>
  <c r="Y9" i="7"/>
  <c r="W1" i="7"/>
  <c r="Y36" i="7"/>
  <c r="C16" i="7"/>
  <c r="I12" i="7"/>
  <c r="E12" i="7"/>
  <c r="G16" i="7"/>
  <c r="M31" i="7"/>
  <c r="Y30" i="7"/>
  <c r="C10" i="7"/>
  <c r="M32" i="7"/>
  <c r="E32" i="7"/>
  <c r="G8" i="7"/>
  <c r="S8" i="7"/>
  <c r="S37" i="7"/>
  <c r="Y24" i="7"/>
  <c r="Q34" i="7"/>
  <c r="M20" i="7"/>
  <c r="U13" i="7"/>
  <c r="G26" i="7"/>
  <c r="G15" i="7"/>
  <c r="K10" i="7"/>
  <c r="Q9" i="7"/>
  <c r="C15" i="7"/>
  <c r="Y14" i="7"/>
  <c r="S29" i="7"/>
  <c r="Q26" i="7"/>
  <c r="S23" i="7"/>
  <c r="K37" i="7"/>
  <c r="E8" i="7"/>
  <c r="M19" i="7"/>
  <c r="K25" i="7"/>
  <c r="C30" i="7"/>
  <c r="S9" i="7"/>
  <c r="Q33" i="7"/>
  <c r="U11" i="7"/>
  <c r="E11" i="7"/>
  <c r="O32" i="7"/>
  <c r="Y19" i="7"/>
  <c r="C26" i="7"/>
  <c r="Y17" i="7"/>
  <c r="S24" i="7"/>
  <c r="E1" i="7"/>
  <c r="C31" i="7"/>
  <c r="Q17" i="7"/>
  <c r="Y27" i="7"/>
  <c r="M10" i="7"/>
  <c r="G29" i="7"/>
  <c r="I14" i="7"/>
  <c r="C25" i="7"/>
  <c r="C34" i="7"/>
  <c r="Y21" i="7"/>
  <c r="W12" i="7"/>
  <c r="M17" i="7"/>
  <c r="Q10" i="7"/>
  <c r="G14" i="7"/>
  <c r="Y32" i="7"/>
  <c r="C12" i="7"/>
  <c r="M36" i="7"/>
  <c r="E36" i="7"/>
  <c r="W10" i="7"/>
  <c r="M35" i="7"/>
  <c r="Y26" i="7"/>
  <c r="Q36" i="7"/>
  <c r="M24" i="7"/>
  <c r="E20" i="7"/>
  <c r="G30" i="7"/>
  <c r="U20" i="7"/>
  <c r="Q31" i="7"/>
  <c r="S10" i="7"/>
  <c r="U33" i="7"/>
  <c r="M33" i="7"/>
  <c r="E9" i="7"/>
  <c r="E17" i="7"/>
  <c r="Q25" i="7"/>
  <c r="I35" i="7"/>
  <c r="U21" i="7"/>
  <c r="O15" i="7"/>
  <c r="O27" i="7"/>
  <c r="I23" i="7"/>
  <c r="K32" i="7"/>
  <c r="Y18" i="7"/>
  <c r="I29" i="7"/>
  <c r="G12" i="7"/>
  <c r="W31" i="7"/>
  <c r="Y15" i="7"/>
  <c r="O1" i="7"/>
  <c r="Y34" i="7"/>
  <c r="W26" i="7"/>
  <c r="O25" i="7"/>
  <c r="Q20" i="7"/>
  <c r="K22" i="7"/>
  <c r="W37" i="7"/>
  <c r="Q15" i="7"/>
  <c r="C32" i="7"/>
  <c r="C11" i="7"/>
  <c r="K1" i="7"/>
  <c r="S25" i="7"/>
  <c r="S34" i="7"/>
  <c r="Q22" i="7"/>
  <c r="Q14" i="7"/>
  <c r="O18" i="7"/>
  <c r="U9" i="7"/>
  <c r="S19" i="7"/>
  <c r="S28" i="7"/>
  <c r="G35" i="7"/>
  <c r="W34" i="7"/>
  <c r="E10" i="7"/>
  <c r="C14" i="7"/>
  <c r="U24" i="7"/>
  <c r="Q27" i="7"/>
  <c r="I37" i="7"/>
  <c r="U25" i="7"/>
  <c r="U22" i="7"/>
  <c r="O31" i="7"/>
  <c r="K34" i="7"/>
  <c r="Y20" i="7"/>
  <c r="I31" i="7"/>
  <c r="W14" i="7"/>
  <c r="W35" i="7"/>
  <c r="O19" i="7"/>
  <c r="E26" i="7"/>
  <c r="I26" i="7"/>
  <c r="Y35" i="7"/>
  <c r="E23" i="7"/>
  <c r="O17" i="7"/>
  <c r="W28" i="7"/>
  <c r="C33" i="7"/>
  <c r="Q19" i="7"/>
  <c r="Y29" i="7"/>
  <c r="E13" i="7"/>
  <c r="G33" i="7"/>
  <c r="G17" i="7"/>
  <c r="W16" i="7"/>
  <c r="C27" i="7"/>
  <c r="C36" i="7"/>
  <c r="Y23" i="7"/>
  <c r="U18" i="7"/>
  <c r="G21" i="7"/>
  <c r="K35" i="7"/>
  <c r="E22" i="7"/>
  <c r="Q29" i="7"/>
  <c r="E33" i="7"/>
  <c r="C24" i="7"/>
  <c r="W24" i="7"/>
  <c r="U19" i="7"/>
  <c r="Q8" i="7"/>
  <c r="G10" i="7"/>
  <c r="E24" i="7"/>
  <c r="Q13" i="7"/>
  <c r="M34" i="7"/>
  <c r="W15" i="7"/>
  <c r="U37" i="7"/>
  <c r="K33" i="7"/>
  <c r="K27" i="7"/>
  <c r="M8" i="7"/>
  <c r="U35" i="7"/>
  <c r="U23" i="7"/>
  <c r="U1" i="7"/>
  <c r="K20" i="7"/>
  <c r="K29" i="7"/>
  <c r="O36" i="7"/>
  <c r="G36" i="7"/>
  <c r="Y10" i="7"/>
  <c r="I11" i="7"/>
  <c r="K14" i="7"/>
  <c r="K23" i="7"/>
  <c r="O24" i="7"/>
  <c r="G24" i="7"/>
  <c r="M30" i="7"/>
  <c r="U29" i="7"/>
  <c r="C35" i="7"/>
  <c r="Q21" i="7"/>
  <c r="Y31" i="7"/>
  <c r="U15" i="7"/>
  <c r="G37" i="7"/>
  <c r="W20" i="7"/>
  <c r="C29" i="7"/>
  <c r="Q23" i="7"/>
  <c r="Y25" i="7"/>
  <c r="M29" i="7"/>
  <c r="G25" i="7"/>
  <c r="U10" i="7"/>
  <c r="S33" i="7"/>
  <c r="I20" i="7"/>
  <c r="Q30" i="7"/>
  <c r="Y13" i="7"/>
  <c r="O34" i="7"/>
  <c r="G18" i="7"/>
  <c r="S27" i="7"/>
  <c r="S36" i="7"/>
  <c r="Q24" i="7"/>
  <c r="M21" i="7"/>
  <c r="O22" i="7"/>
  <c r="W8" i="7"/>
  <c r="O16" i="7"/>
  <c r="S21" i="7"/>
  <c r="S30" i="7"/>
  <c r="Q18" i="7"/>
  <c r="W9" i="7"/>
  <c r="U12" i="7"/>
  <c r="Y33" i="7"/>
  <c r="C37" i="7"/>
  <c r="W25" i="7"/>
  <c r="C9" i="7"/>
  <c r="O37" i="7"/>
  <c r="O26" i="7"/>
  <c r="S32" i="7"/>
  <c r="K28" i="7"/>
  <c r="W23" i="7"/>
  <c r="M13" i="7"/>
  <c r="K16" i="7"/>
  <c r="S31" i="7"/>
  <c r="M1" i="7"/>
  <c r="M12" i="7"/>
  <c r="M37" i="7"/>
  <c r="M16" i="7"/>
  <c r="I8" i="7"/>
  <c r="O14" i="7"/>
  <c r="W29" i="7"/>
  <c r="E16" i="7"/>
  <c r="U17" i="7"/>
  <c r="G32" i="7"/>
  <c r="Y11" i="6"/>
  <c r="M15" i="6"/>
  <c r="M27" i="6"/>
  <c r="W18" i="6"/>
  <c r="C10" i="6"/>
  <c r="W36" i="6"/>
  <c r="G13" i="6"/>
  <c r="K31" i="6"/>
  <c r="Y33" i="6"/>
  <c r="Y20" i="6"/>
  <c r="S24" i="6"/>
  <c r="M30" i="6"/>
  <c r="C16" i="6"/>
  <c r="M37" i="6"/>
  <c r="O29" i="6"/>
  <c r="I10" i="6"/>
  <c r="Y28" i="6"/>
  <c r="M25" i="6"/>
  <c r="Y16" i="6"/>
  <c r="I37" i="6"/>
  <c r="C24" i="6"/>
  <c r="U28" i="6"/>
  <c r="C17" i="6"/>
  <c r="U22" i="6"/>
  <c r="S10" i="6"/>
  <c r="W19" i="6"/>
  <c r="G20" i="6"/>
  <c r="G32" i="6"/>
  <c r="M9" i="6"/>
  <c r="W24" i="6"/>
  <c r="E28" i="6"/>
  <c r="U14" i="6"/>
  <c r="S13" i="6"/>
  <c r="E17" i="6"/>
  <c r="S31" i="6"/>
  <c r="E15" i="6"/>
  <c r="Q12" i="6"/>
  <c r="G12" i="6"/>
  <c r="C37" i="6"/>
  <c r="U15" i="6"/>
  <c r="W30" i="6"/>
  <c r="G31" i="6"/>
  <c r="O32" i="6"/>
  <c r="S26" i="6"/>
  <c r="U32" i="6"/>
  <c r="C12" i="6"/>
  <c r="E31" i="6"/>
  <c r="I34" i="6"/>
  <c r="G25" i="6"/>
  <c r="U25" i="6"/>
  <c r="O10" i="6"/>
  <c r="C30" i="6"/>
  <c r="U19" i="6"/>
  <c r="U26" i="6"/>
  <c r="G19" i="6"/>
  <c r="W15" i="6"/>
  <c r="I36" i="6"/>
  <c r="W16" i="6"/>
  <c r="G34" i="6"/>
  <c r="Q9" i="6"/>
  <c r="M34" i="6"/>
  <c r="E14" i="6"/>
  <c r="W33" i="6"/>
  <c r="K37" i="6"/>
  <c r="K18" i="6"/>
  <c r="O31" i="6"/>
  <c r="U20" i="6"/>
  <c r="Q36" i="6"/>
  <c r="O37" i="6"/>
  <c r="I19" i="6"/>
  <c r="G15" i="6"/>
  <c r="M16" i="6"/>
  <c r="O17" i="6"/>
  <c r="E23" i="6"/>
  <c r="K26" i="6"/>
  <c r="K35" i="6"/>
  <c r="Y18" i="6"/>
  <c r="G18" i="6"/>
  <c r="Y34" i="6"/>
  <c r="I17" i="6"/>
  <c r="O9" i="6"/>
  <c r="G26" i="5"/>
  <c r="G31" i="5"/>
  <c r="Q30" i="6"/>
  <c r="M17" i="6"/>
  <c r="O30" i="6"/>
  <c r="Y13" i="6"/>
  <c r="S18" i="6"/>
  <c r="E20" i="6"/>
  <c r="K12" i="6"/>
  <c r="C14" i="6"/>
  <c r="K14" i="6"/>
  <c r="C25" i="6"/>
  <c r="S35" i="6"/>
  <c r="O24" i="6"/>
  <c r="U13" i="6"/>
  <c r="W12" i="6"/>
  <c r="M11" i="6"/>
  <c r="U34" i="6"/>
  <c r="Q8" i="6"/>
  <c r="Q34" i="6"/>
  <c r="S25" i="6"/>
  <c r="I15" i="6"/>
  <c r="S19" i="6"/>
  <c r="O8" i="6"/>
  <c r="Q11" i="6"/>
  <c r="K23" i="6"/>
  <c r="E10" i="6"/>
  <c r="G9" i="6"/>
  <c r="M13" i="6"/>
  <c r="E27" i="6"/>
  <c r="Y25" i="6"/>
  <c r="W35" i="6"/>
  <c r="Q26" i="6"/>
  <c r="K11" i="6"/>
  <c r="W27" i="6"/>
  <c r="W28" i="6"/>
  <c r="K9" i="6"/>
  <c r="G23" i="6"/>
  <c r="U9" i="6"/>
  <c r="W8" i="6"/>
  <c r="C8" i="6"/>
  <c r="E13" i="6"/>
  <c r="Q16" i="6"/>
  <c r="Q10" i="6"/>
  <c r="E37" i="6"/>
  <c r="G8" i="6"/>
  <c r="E25" i="6"/>
  <c r="G26" i="6"/>
  <c r="G16" i="6"/>
  <c r="S22" i="6"/>
  <c r="C29" i="6"/>
  <c r="O15" i="6"/>
  <c r="E33" i="6"/>
  <c r="O25" i="6"/>
  <c r="M36" i="6"/>
  <c r="G28" i="6"/>
  <c r="G14" i="6"/>
  <c r="W13" i="6"/>
  <c r="U18" i="6"/>
  <c r="C11" i="6"/>
  <c r="O12" i="6"/>
  <c r="S32" i="6"/>
  <c r="Q18" i="6"/>
  <c r="Y36" i="6"/>
  <c r="Q22" i="6"/>
  <c r="U10" i="6"/>
  <c r="O26" i="6"/>
  <c r="U36" i="6"/>
  <c r="O18" i="6"/>
  <c r="Q28" i="6"/>
  <c r="I21" i="6"/>
  <c r="W25" i="6"/>
  <c r="O19" i="6"/>
  <c r="M26" i="6"/>
  <c r="C19" i="6"/>
  <c r="E32" i="6"/>
  <c r="O35" i="6"/>
  <c r="S12" i="6"/>
  <c r="U30" i="6"/>
  <c r="O27" i="6"/>
  <c r="I29" i="6"/>
  <c r="W37" i="6"/>
  <c r="S20" i="6"/>
  <c r="S23" i="6"/>
  <c r="G27" i="6"/>
  <c r="K28" i="6"/>
  <c r="W34" i="6"/>
  <c r="U11" i="6"/>
  <c r="S14" i="6"/>
  <c r="O16" i="6"/>
  <c r="K10" i="6"/>
  <c r="S33" i="6"/>
  <c r="I24" i="6"/>
  <c r="U29" i="6"/>
  <c r="Y30" i="6"/>
  <c r="G36" i="6"/>
  <c r="Q24" i="6"/>
  <c r="Y37" i="6"/>
  <c r="C13" i="6"/>
  <c r="K32" i="6"/>
  <c r="E34" i="6"/>
  <c r="M21" i="6"/>
  <c r="O28" i="6"/>
  <c r="S36" i="6"/>
  <c r="G22" i="6"/>
  <c r="Q17" i="6"/>
  <c r="Q23" i="6"/>
  <c r="Q31" i="6"/>
  <c r="Y9" i="6"/>
  <c r="K22" i="6"/>
  <c r="S16" i="6"/>
  <c r="C15" i="6"/>
  <c r="U16" i="6"/>
  <c r="K29" i="6"/>
  <c r="Q35" i="6"/>
  <c r="M32" i="6"/>
  <c r="W21" i="6"/>
  <c r="W26" i="6"/>
  <c r="C9" i="6"/>
  <c r="M10" i="6"/>
  <c r="U27" i="6"/>
  <c r="G24" i="6"/>
  <c r="Q14" i="6"/>
  <c r="W9" i="6"/>
  <c r="O33" i="6"/>
  <c r="K21" i="6"/>
  <c r="Q37" i="6"/>
  <c r="K19" i="6"/>
  <c r="I35" i="6"/>
  <c r="Y15" i="6"/>
  <c r="C27" i="6"/>
  <c r="U24" i="6"/>
  <c r="C33" i="6"/>
  <c r="I30" i="6"/>
  <c r="C21" i="6"/>
  <c r="I22" i="6"/>
  <c r="W31" i="6"/>
  <c r="Y26" i="6"/>
  <c r="S17" i="6"/>
  <c r="G25" i="5"/>
  <c r="G32" i="5"/>
  <c r="G27" i="5"/>
  <c r="G28" i="5"/>
  <c r="U8" i="6"/>
  <c r="Q25" i="6"/>
  <c r="G30" i="5"/>
  <c r="K17" i="6"/>
  <c r="G14" i="5"/>
  <c r="G29" i="5"/>
  <c r="G7" i="5"/>
  <c r="S29" i="6"/>
  <c r="E35" i="6"/>
  <c r="W10" i="6"/>
  <c r="G21" i="5"/>
  <c r="G24" i="5"/>
  <c r="G19" i="5"/>
  <c r="G34" i="5"/>
  <c r="M22" i="6"/>
  <c r="I8" i="6"/>
  <c r="C26" i="6"/>
  <c r="C36" i="6"/>
  <c r="K13" i="6"/>
  <c r="G11" i="6"/>
  <c r="O23" i="6"/>
  <c r="U21" i="6"/>
  <c r="G37" i="6"/>
  <c r="G29" i="6"/>
  <c r="S30" i="6"/>
  <c r="C18" i="6"/>
  <c r="O13" i="6"/>
  <c r="W14" i="6"/>
  <c r="Q15" i="6"/>
  <c r="M8" i="6"/>
  <c r="Q33" i="6"/>
  <c r="M31" i="6"/>
  <c r="U35" i="6"/>
  <c r="K16" i="6"/>
  <c r="C20" i="6"/>
  <c r="K25" i="6"/>
  <c r="Y31" i="6"/>
  <c r="I26" i="6"/>
  <c r="E8" i="6"/>
  <c r="M28" i="6"/>
  <c r="M29" i="6"/>
  <c r="I13" i="6"/>
  <c r="I14" i="6"/>
  <c r="O22" i="6"/>
  <c r="W23" i="6"/>
  <c r="U12" i="6"/>
  <c r="S27" i="6"/>
  <c r="M18" i="6"/>
  <c r="W29" i="6"/>
  <c r="I31" i="6"/>
  <c r="Q27" i="6"/>
  <c r="E12" i="6"/>
  <c r="Y23" i="6"/>
  <c r="G33" i="6"/>
  <c r="G35" i="6"/>
  <c r="M14" i="6"/>
  <c r="I20" i="6"/>
  <c r="W11" i="6"/>
  <c r="K15" i="6"/>
  <c r="K36" i="6"/>
  <c r="C34" i="6"/>
  <c r="M24" i="6"/>
  <c r="G21" i="6"/>
  <c r="C31" i="6"/>
  <c r="E24" i="6"/>
  <c r="K8" i="6"/>
  <c r="O21" i="6"/>
  <c r="Q29" i="6"/>
  <c r="K24" i="6"/>
  <c r="G30" i="6"/>
  <c r="U31" i="6"/>
  <c r="E16" i="6"/>
  <c r="E22" i="6"/>
  <c r="M12" i="6"/>
  <c r="S37" i="6"/>
  <c r="Q21" i="6"/>
  <c r="K27" i="6"/>
  <c r="W32" i="6"/>
  <c r="I27" i="6"/>
  <c r="E36" i="6"/>
  <c r="Q20" i="6"/>
  <c r="O36" i="6"/>
  <c r="Y12" i="6"/>
  <c r="I33" i="6"/>
  <c r="Y17" i="6"/>
  <c r="M19" i="6"/>
  <c r="E19" i="6"/>
  <c r="G10" i="6"/>
  <c r="C35" i="6"/>
  <c r="O14" i="6"/>
  <c r="S28" i="6"/>
  <c r="C28" i="6"/>
  <c r="I11" i="6"/>
  <c r="E30" i="6"/>
  <c r="S8" i="6"/>
  <c r="M23" i="6"/>
  <c r="Q19" i="6"/>
  <c r="O11" i="6"/>
  <c r="Y29" i="6"/>
  <c r="I9" i="6"/>
  <c r="W22" i="6"/>
  <c r="I16" i="6"/>
  <c r="Y32" i="6"/>
  <c r="K20" i="6"/>
  <c r="G5" i="5"/>
  <c r="S15" i="6"/>
  <c r="Y21" i="6"/>
  <c r="S21" i="6"/>
  <c r="M33" i="6"/>
  <c r="U17" i="6"/>
  <c r="Y27" i="6"/>
  <c r="U33" i="6"/>
  <c r="M20" i="6"/>
  <c r="C22" i="6"/>
  <c r="O34" i="6"/>
  <c r="Y19" i="6"/>
  <c r="K34" i="6"/>
  <c r="Y35" i="6"/>
  <c r="E21" i="6"/>
  <c r="Q13" i="6"/>
  <c r="I32" i="6"/>
  <c r="I25" i="6"/>
  <c r="I18" i="6"/>
  <c r="M35" i="6"/>
  <c r="I28" i="6"/>
  <c r="G17" i="6"/>
  <c r="I23" i="6"/>
  <c r="Y24" i="6"/>
  <c r="W20" i="6"/>
  <c r="Y22" i="6"/>
  <c r="Y8" i="6"/>
  <c r="C32" i="6"/>
  <c r="U23" i="6"/>
  <c r="W17" i="6"/>
  <c r="S11" i="6"/>
  <c r="Q32" i="6"/>
  <c r="O20" i="6"/>
  <c r="Y10" i="6"/>
  <c r="I12" i="6"/>
  <c r="E29" i="6"/>
  <c r="S9" i="6"/>
  <c r="E11" i="6"/>
  <c r="K30" i="6"/>
  <c r="S34" i="6"/>
  <c r="E18" i="6"/>
  <c r="Y14" i="6"/>
  <c r="K33" i="6"/>
  <c r="U37" i="6"/>
  <c r="E26" i="6"/>
  <c r="G4" i="5"/>
  <c r="G15" i="5"/>
  <c r="G9" i="5"/>
  <c r="G8" i="5"/>
  <c r="G18" i="5"/>
  <c r="G22" i="5"/>
  <c r="G23" i="5"/>
  <c r="G6" i="5"/>
  <c r="G12" i="5"/>
  <c r="G11" i="5"/>
  <c r="G17" i="5"/>
  <c r="G20" i="5"/>
  <c r="G33" i="5"/>
  <c r="G3" i="5"/>
  <c r="G13" i="5"/>
  <c r="G10" i="5"/>
  <c r="W38" i="7" l="1"/>
  <c r="W7" i="7" s="1"/>
  <c r="V5" i="7" s="1"/>
  <c r="M38" i="7"/>
  <c r="M7" i="7" s="1"/>
  <c r="Y38" i="7"/>
  <c r="Y7" i="7" s="1"/>
  <c r="C38" i="7"/>
  <c r="C7" i="7" s="1"/>
  <c r="I38" i="7"/>
  <c r="I7" i="7" s="1"/>
  <c r="O38" i="7"/>
  <c r="O7" i="7" s="1"/>
  <c r="U38" i="7"/>
  <c r="U7" i="7" s="1"/>
  <c r="Q38" i="7"/>
  <c r="Q7" i="7" s="1"/>
  <c r="K38" i="7"/>
  <c r="K7" i="7" s="1"/>
  <c r="E38" i="7"/>
  <c r="E7" i="7" s="1"/>
  <c r="S38" i="7"/>
  <c r="S7" i="7" s="1"/>
  <c r="G38" i="7"/>
  <c r="G7" i="7" s="1"/>
  <c r="O38" i="6"/>
  <c r="O7" i="6" s="1"/>
  <c r="N4" i="6" s="1"/>
  <c r="G38" i="6"/>
  <c r="G7" i="6" s="1"/>
  <c r="F5" i="6" s="1"/>
  <c r="Q38" i="6"/>
  <c r="Q7" i="6" s="1"/>
  <c r="P4" i="6" s="1"/>
  <c r="Y38" i="6"/>
  <c r="Y7" i="6" s="1"/>
  <c r="X4" i="6" s="1"/>
  <c r="C38" i="6"/>
  <c r="C7" i="6" s="1"/>
  <c r="B5" i="6" s="1"/>
  <c r="S38" i="6"/>
  <c r="S7" i="6" s="1"/>
  <c r="R5" i="6" s="1"/>
  <c r="I38" i="6"/>
  <c r="I7" i="6" s="1"/>
  <c r="H4" i="6" s="1"/>
  <c r="G36" i="5"/>
  <c r="E38" i="6"/>
  <c r="E7" i="6" s="1"/>
  <c r="D5" i="6" s="1"/>
  <c r="W38" i="6"/>
  <c r="W7" i="6" s="1"/>
  <c r="V4" i="6" s="1"/>
  <c r="M38" i="6"/>
  <c r="M7" i="6" s="1"/>
  <c r="L5" i="6" s="1"/>
  <c r="U38" i="6"/>
  <c r="U7" i="6" s="1"/>
  <c r="T4" i="6" s="1"/>
  <c r="K38" i="6"/>
  <c r="K7" i="6" s="1"/>
  <c r="J5" i="6" s="1"/>
  <c r="G35" i="5"/>
  <c r="D17" i="2" l="1"/>
  <c r="V4" i="7"/>
  <c r="N5" i="6"/>
  <c r="D4" i="6"/>
  <c r="P4" i="7"/>
  <c r="P5" i="7"/>
  <c r="T4" i="7"/>
  <c r="T5" i="7"/>
  <c r="N4" i="7"/>
  <c r="N5" i="7"/>
  <c r="F5" i="7"/>
  <c r="F4" i="7"/>
  <c r="H5" i="7"/>
  <c r="H4" i="7"/>
  <c r="R5" i="7"/>
  <c r="R4" i="7"/>
  <c r="B5" i="7"/>
  <c r="B4" i="7"/>
  <c r="D5" i="7"/>
  <c r="D4" i="7"/>
  <c r="X4" i="7"/>
  <c r="X5" i="7"/>
  <c r="J5" i="7"/>
  <c r="J4" i="7"/>
  <c r="L5" i="7"/>
  <c r="L4" i="7"/>
  <c r="B4" i="6"/>
  <c r="F4" i="6"/>
  <c r="V5" i="6"/>
  <c r="J4" i="6"/>
  <c r="R4" i="6"/>
  <c r="X5" i="6"/>
  <c r="P5" i="6"/>
  <c r="L4" i="6"/>
  <c r="T5" i="6"/>
  <c r="H5" i="6"/>
  <c r="D18" i="2"/>
  <c r="F6" i="1"/>
  <c r="F8" i="2"/>
  <c r="F9" i="2"/>
  <c r="B28" i="2" l="1"/>
  <c r="B29" i="2" s="1"/>
  <c r="B27" i="2"/>
  <c r="F24" i="1" s="1"/>
  <c r="F25" i="1"/>
  <c r="D16" i="2"/>
  <c r="F5" i="1" s="1"/>
  <c r="F10" i="2"/>
  <c r="F10" i="1" s="1"/>
  <c r="F11" i="2"/>
  <c r="F12" i="2"/>
  <c r="B31" i="2"/>
  <c r="B32" i="2"/>
  <c r="B33" i="2" l="1"/>
  <c r="F27" i="1" s="1"/>
  <c r="F16" i="2"/>
  <c r="F13" i="2"/>
  <c r="B40" i="2" l="1"/>
  <c r="B23" i="2"/>
  <c r="F11" i="1"/>
  <c r="F26" i="1" s="1"/>
  <c r="B44" i="2" l="1"/>
  <c r="F52" i="1"/>
  <c r="B34" i="2"/>
  <c r="B35" i="2"/>
  <c r="F49" i="1" l="1"/>
  <c r="C1" i="8"/>
  <c r="K15" i="8" s="1"/>
  <c r="F53" i="1"/>
  <c r="U9" i="8"/>
  <c r="C13" i="8"/>
  <c r="G22" i="8"/>
  <c r="Q27" i="8"/>
  <c r="K12" i="8"/>
  <c r="S14" i="8"/>
  <c r="W11" i="8"/>
  <c r="Y24" i="8"/>
  <c r="I24" i="8"/>
  <c r="O19" i="8"/>
  <c r="G14" i="8"/>
  <c r="S1" i="8"/>
  <c r="I27" i="8"/>
  <c r="Y21" i="8"/>
  <c r="U12" i="8"/>
  <c r="E33" i="8"/>
  <c r="Q9" i="8"/>
  <c r="K36" i="8"/>
  <c r="Y36" i="8"/>
  <c r="S12" i="8"/>
  <c r="I37" i="8"/>
  <c r="S37" i="8"/>
  <c r="K24" i="8"/>
  <c r="E22" i="8"/>
  <c r="Q14" i="8"/>
  <c r="Q31" i="8"/>
  <c r="I1" i="8"/>
  <c r="M27" i="8"/>
  <c r="C25" i="8"/>
  <c r="G34" i="8"/>
  <c r="O12" i="8"/>
  <c r="U31" i="8"/>
  <c r="W14" i="8"/>
  <c r="Y25" i="8"/>
  <c r="O1" i="8"/>
  <c r="W25" i="8"/>
  <c r="O10" i="8"/>
  <c r="Y26" i="8"/>
  <c r="G28" i="8"/>
  <c r="K25" i="8"/>
  <c r="I20" i="8"/>
  <c r="K30" i="8"/>
  <c r="U22" i="8"/>
  <c r="K23" i="8"/>
  <c r="U16" i="8"/>
  <c r="C11" i="8"/>
  <c r="M26" i="8"/>
  <c r="O23" i="8"/>
  <c r="G12" i="8"/>
  <c r="M19" i="8"/>
  <c r="S13" i="8"/>
  <c r="B36" i="2"/>
  <c r="I33" i="8" l="1"/>
  <c r="Y16" i="8"/>
  <c r="C18" i="8"/>
  <c r="W28" i="8"/>
  <c r="M18" i="8"/>
  <c r="Y8" i="8"/>
  <c r="I9" i="8"/>
  <c r="E35" i="8"/>
  <c r="Y13" i="8"/>
  <c r="W19" i="8"/>
  <c r="O21" i="8"/>
  <c r="E9" i="8"/>
  <c r="G19" i="8"/>
  <c r="C16" i="8"/>
  <c r="Q13" i="8"/>
  <c r="K21" i="8"/>
  <c r="K13" i="8"/>
  <c r="O18" i="8"/>
  <c r="C34" i="8"/>
  <c r="M1" i="8"/>
  <c r="K17" i="8"/>
  <c r="C14" i="8"/>
  <c r="U23" i="8"/>
  <c r="G21" i="8"/>
  <c r="M33" i="8"/>
  <c r="W17" i="8"/>
  <c r="Y17" i="8"/>
  <c r="O9" i="8"/>
  <c r="O26" i="8"/>
  <c r="O17" i="8"/>
  <c r="E28" i="8"/>
  <c r="Q33" i="8"/>
  <c r="I22" i="8"/>
  <c r="Y22" i="8"/>
  <c r="Q32" i="8"/>
  <c r="K27" i="8"/>
  <c r="W24" i="8"/>
  <c r="S15" i="8"/>
  <c r="M12" i="8"/>
  <c r="O22" i="8"/>
  <c r="S30" i="8"/>
  <c r="E18" i="8"/>
  <c r="K22" i="8"/>
  <c r="U18" i="8"/>
  <c r="G32" i="8"/>
  <c r="C23" i="8"/>
  <c r="U19" i="8"/>
  <c r="W29" i="8"/>
  <c r="K19" i="8"/>
  <c r="M25" i="8"/>
  <c r="S27" i="8"/>
  <c r="Q18" i="8"/>
  <c r="U20" i="8"/>
  <c r="W32" i="8"/>
  <c r="S23" i="8"/>
  <c r="M20" i="8"/>
  <c r="O30" i="8"/>
  <c r="S26" i="8"/>
  <c r="O20" i="8"/>
  <c r="I12" i="8"/>
  <c r="O36" i="8"/>
  <c r="C10" i="8"/>
  <c r="W12" i="8"/>
  <c r="E27" i="8"/>
  <c r="S10" i="8"/>
  <c r="C19" i="8"/>
  <c r="Y31" i="8"/>
  <c r="K1" i="8"/>
  <c r="Q25" i="8"/>
  <c r="Q20" i="8"/>
  <c r="W31" i="8"/>
  <c r="W30" i="8"/>
  <c r="G15" i="8"/>
  <c r="Y1" i="8"/>
  <c r="E21" i="8"/>
  <c r="W18" i="8"/>
  <c r="S9" i="8"/>
  <c r="Y34" i="8"/>
  <c r="O16" i="8"/>
  <c r="Y37" i="8"/>
  <c r="M13" i="8"/>
  <c r="G30" i="8"/>
  <c r="C21" i="8"/>
  <c r="U17" i="8"/>
  <c r="W27" i="8"/>
  <c r="K35" i="8"/>
  <c r="U30" i="8"/>
  <c r="C33" i="8"/>
  <c r="O34" i="8"/>
  <c r="E26" i="8"/>
  <c r="O37" i="8"/>
  <c r="K28" i="8"/>
  <c r="E25" i="8"/>
  <c r="G35" i="8"/>
  <c r="E1" i="8"/>
  <c r="E36" i="8"/>
  <c r="E10" i="8"/>
  <c r="I29" i="8"/>
  <c r="U26" i="8"/>
  <c r="M15" i="8"/>
  <c r="C29" i="8"/>
  <c r="U25" i="8"/>
  <c r="W35" i="8"/>
  <c r="C32" i="8"/>
  <c r="G17" i="8"/>
  <c r="G13" i="8"/>
  <c r="Q11" i="8"/>
  <c r="E37" i="8"/>
  <c r="E13" i="8"/>
  <c r="Y20" i="8"/>
  <c r="Q35" i="8"/>
  <c r="U21" i="8"/>
  <c r="M32" i="8"/>
  <c r="S18" i="8"/>
  <c r="G11" i="8"/>
  <c r="W23" i="8"/>
  <c r="I15" i="8"/>
  <c r="K14" i="8"/>
  <c r="Q28" i="8"/>
  <c r="G36" i="8"/>
  <c r="O25" i="8"/>
  <c r="W9" i="8"/>
  <c r="S32" i="8"/>
  <c r="K32" i="8"/>
  <c r="Q10" i="8"/>
  <c r="Q26" i="8"/>
  <c r="S19" i="8"/>
  <c r="Y33" i="8"/>
  <c r="C26" i="8"/>
  <c r="I36" i="8"/>
  <c r="O28" i="8"/>
  <c r="G18" i="8"/>
  <c r="M34" i="8"/>
  <c r="G24" i="8"/>
  <c r="C15" i="8"/>
  <c r="U11" i="8"/>
  <c r="W21" i="8"/>
  <c r="C36" i="8"/>
  <c r="E24" i="8"/>
  <c r="O35" i="8"/>
  <c r="K26" i="8"/>
  <c r="E23" i="8"/>
  <c r="G33" i="8"/>
  <c r="U1" i="8"/>
  <c r="G10" i="8"/>
  <c r="I14" i="8"/>
  <c r="Y23" i="8"/>
  <c r="M31" i="8"/>
  <c r="Y32" i="8"/>
  <c r="S33" i="8"/>
  <c r="M30" i="8"/>
  <c r="I19" i="8"/>
  <c r="Q12" i="8"/>
  <c r="O15" i="8"/>
  <c r="M8" i="8"/>
  <c r="S20" i="8"/>
  <c r="E32" i="8"/>
  <c r="I34" i="8"/>
  <c r="K34" i="8"/>
  <c r="E31" i="8"/>
  <c r="Y19" i="8"/>
  <c r="K37" i="8"/>
  <c r="G20" i="8"/>
  <c r="S29" i="8"/>
  <c r="C27" i="8"/>
  <c r="G23" i="8"/>
  <c r="C12" i="8"/>
  <c r="E8" i="8"/>
  <c r="O33" i="8"/>
  <c r="K20" i="8"/>
  <c r="W1" i="8"/>
  <c r="S31" i="8"/>
  <c r="I17" i="8"/>
  <c r="W20" i="8"/>
  <c r="U36" i="8"/>
  <c r="M11" i="8"/>
  <c r="U35" i="8"/>
  <c r="Q24" i="8"/>
  <c r="E19" i="8"/>
  <c r="I25" i="8"/>
  <c r="M21" i="8"/>
  <c r="M10" i="8"/>
  <c r="E34" i="8"/>
  <c r="U15" i="8"/>
  <c r="U10" i="8"/>
  <c r="U24" i="8"/>
  <c r="I26" i="8"/>
  <c r="S22" i="8"/>
  <c r="U37" i="8"/>
  <c r="S21" i="8"/>
  <c r="Q36" i="8"/>
  <c r="M9" i="8"/>
  <c r="G31" i="8"/>
  <c r="W34" i="8"/>
  <c r="S25" i="8"/>
  <c r="M22" i="8"/>
  <c r="O32" i="8"/>
  <c r="C8" i="8"/>
  <c r="U34" i="8"/>
  <c r="Q37" i="8"/>
  <c r="C37" i="8"/>
  <c r="U33" i="8"/>
  <c r="Q22" i="8"/>
  <c r="K29" i="8"/>
  <c r="O31" i="8"/>
  <c r="U13" i="8"/>
  <c r="C20" i="8"/>
  <c r="W10" i="8"/>
  <c r="Q15" i="8"/>
  <c r="I16" i="8"/>
  <c r="O8" i="8"/>
  <c r="Y29" i="8"/>
  <c r="S8" i="8"/>
  <c r="W36" i="8"/>
  <c r="U29" i="8"/>
  <c r="K9" i="8"/>
  <c r="O11" i="8"/>
  <c r="Q17" i="8"/>
  <c r="I18" i="8"/>
  <c r="G9" i="8"/>
  <c r="Q30" i="8"/>
  <c r="C28" i="8"/>
  <c r="S28" i="8"/>
  <c r="Q8" i="8"/>
  <c r="Y14" i="8"/>
  <c r="M23" i="8"/>
  <c r="Q21" i="8"/>
  <c r="C22" i="8"/>
  <c r="C35" i="8"/>
  <c r="E30" i="8"/>
  <c r="K8" i="8"/>
  <c r="I21" i="8"/>
  <c r="W15" i="8"/>
  <c r="O29" i="8"/>
  <c r="E17" i="8"/>
  <c r="G27" i="8"/>
  <c r="M29" i="8"/>
  <c r="Q23" i="8"/>
  <c r="M28" i="8"/>
  <c r="C24" i="8"/>
  <c r="I28" i="8"/>
  <c r="Q34" i="8"/>
  <c r="U14" i="8"/>
  <c r="G1" i="8"/>
  <c r="G26" i="8"/>
  <c r="S24" i="8"/>
  <c r="M37" i="8"/>
  <c r="M17" i="8"/>
  <c r="E14" i="8"/>
  <c r="M36" i="8"/>
  <c r="K33" i="8"/>
  <c r="E16" i="8"/>
  <c r="Y12" i="8"/>
  <c r="Y9" i="8"/>
  <c r="Y18" i="8"/>
  <c r="G37" i="8"/>
  <c r="W22" i="8"/>
  <c r="U32" i="8"/>
  <c r="E11" i="8"/>
  <c r="G8" i="8"/>
  <c r="W33" i="8"/>
  <c r="K16" i="8"/>
  <c r="I31" i="8"/>
  <c r="O13" i="8"/>
  <c r="E29" i="8"/>
  <c r="E20" i="8"/>
  <c r="M35" i="8"/>
  <c r="M16" i="8"/>
  <c r="U28" i="8"/>
  <c r="U8" i="8"/>
  <c r="S35" i="8"/>
  <c r="C30" i="8"/>
  <c r="C9" i="8"/>
  <c r="I23" i="8"/>
  <c r="Q19" i="8"/>
  <c r="C31" i="8"/>
  <c r="U27" i="8"/>
  <c r="W37" i="8"/>
  <c r="S36" i="8"/>
  <c r="W8" i="8"/>
  <c r="I10" i="8"/>
  <c r="Y10" i="8"/>
  <c r="I8" i="8"/>
  <c r="Y27" i="8"/>
  <c r="S34" i="8"/>
  <c r="I30" i="8"/>
  <c r="M24" i="8"/>
  <c r="I11" i="8"/>
  <c r="G16" i="8"/>
  <c r="Q29" i="8"/>
  <c r="Y28" i="8"/>
  <c r="W13" i="8"/>
  <c r="I35" i="8"/>
  <c r="Q16" i="8"/>
  <c r="E12" i="8"/>
  <c r="Q1" i="8"/>
  <c r="Y11" i="8"/>
  <c r="W16" i="8"/>
  <c r="I32" i="8"/>
  <c r="Y30" i="8"/>
  <c r="O14" i="8"/>
  <c r="Y35" i="8"/>
  <c r="K10" i="8"/>
  <c r="K31" i="8"/>
  <c r="S11" i="8"/>
  <c r="W26" i="8"/>
  <c r="S17" i="8"/>
  <c r="M14" i="8"/>
  <c r="O24" i="8"/>
  <c r="Y15" i="8"/>
  <c r="S16" i="8"/>
  <c r="C17" i="8"/>
  <c r="G29" i="8"/>
  <c r="K11" i="8"/>
  <c r="O27" i="8"/>
  <c r="K18" i="8"/>
  <c r="E15" i="8"/>
  <c r="G25" i="8"/>
  <c r="I13" i="8"/>
  <c r="F28" i="1"/>
  <c r="B37" i="1" s="1"/>
  <c r="F24" i="2"/>
  <c r="Y38" i="8" l="1"/>
  <c r="Y7" i="8" s="1"/>
  <c r="S38" i="8"/>
  <c r="S7" i="8" s="1"/>
  <c r="R5" i="8" s="1"/>
  <c r="W38" i="8"/>
  <c r="W7" i="8" s="1"/>
  <c r="V4" i="8" s="1"/>
  <c r="I38" i="8"/>
  <c r="I7" i="8" s="1"/>
  <c r="H5" i="8" s="1"/>
  <c r="E38" i="8"/>
  <c r="E7" i="8" s="1"/>
  <c r="D4" i="8" s="1"/>
  <c r="U38" i="8"/>
  <c r="U7" i="8" s="1"/>
  <c r="T5" i="8" s="1"/>
  <c r="O38" i="8"/>
  <c r="O7" i="8" s="1"/>
  <c r="N5" i="8" s="1"/>
  <c r="M38" i="8"/>
  <c r="M7" i="8" s="1"/>
  <c r="L5" i="8" s="1"/>
  <c r="G38" i="8"/>
  <c r="G7" i="8" s="1"/>
  <c r="F4" i="8" s="1"/>
  <c r="Q38" i="8"/>
  <c r="Q7" i="8" s="1"/>
  <c r="P4" i="8" s="1"/>
  <c r="C38" i="8"/>
  <c r="C7" i="8" s="1"/>
  <c r="B5" i="8" s="1"/>
  <c r="K38" i="8"/>
  <c r="K7" i="8" s="1"/>
  <c r="J4" i="8" s="1"/>
  <c r="H4" i="8"/>
  <c r="T4" i="8"/>
  <c r="X5" i="8"/>
  <c r="X4" i="8"/>
  <c r="F26" i="2"/>
  <c r="B39" i="1" s="1"/>
  <c r="D5" i="8" l="1"/>
  <c r="N4" i="8"/>
  <c r="B46" i="2"/>
  <c r="F50" i="1" s="1"/>
  <c r="V5" i="8"/>
  <c r="R4" i="8"/>
  <c r="B4" i="8"/>
  <c r="F5" i="8"/>
  <c r="L4" i="8"/>
  <c r="P5" i="8"/>
  <c r="J5" i="8"/>
  <c r="B47" i="2"/>
  <c r="F51" i="1" s="1"/>
  <c r="F27" i="2"/>
  <c r="F30" i="2"/>
  <c r="B48" i="2" l="1"/>
  <c r="B43" i="1"/>
  <c r="B44" i="1"/>
  <c r="B40" i="1"/>
</calcChain>
</file>

<file path=xl/sharedStrings.xml><?xml version="1.0" encoding="utf-8"?>
<sst xmlns="http://schemas.openxmlformats.org/spreadsheetml/2006/main" count="371" uniqueCount="137">
  <si>
    <t>Distancia entre aspersores</t>
  </si>
  <si>
    <t>Distancia 1er aspersor</t>
  </si>
  <si>
    <t>Circuito cerrado</t>
  </si>
  <si>
    <t>Caudal del aspersor (l/h)</t>
  </si>
  <si>
    <t>Formula perdidas de carga</t>
  </si>
  <si>
    <t>Blasius (PVC-PE)</t>
  </si>
  <si>
    <t>Varonesse-Datey (PVC)</t>
  </si>
  <si>
    <t>Formula seleccionada</t>
  </si>
  <si>
    <t>Factor de Christiansen</t>
  </si>
  <si>
    <t>nº salidas (sector lineal)</t>
  </si>
  <si>
    <t>Nº salidas (circuito cerrado)</t>
  </si>
  <si>
    <t>Caudal (sector lineal)</t>
  </si>
  <si>
    <t>Caudal (circuito cerrado)</t>
  </si>
  <si>
    <t>1ª salida = L</t>
  </si>
  <si>
    <t>1ª salida = L/2</t>
  </si>
  <si>
    <t>Longitud total</t>
  </si>
  <si>
    <t>nº asp</t>
  </si>
  <si>
    <t>dist asp</t>
  </si>
  <si>
    <t>dist 1er asp</t>
  </si>
  <si>
    <t>Distancia total sector</t>
  </si>
  <si>
    <t>Caudal total</t>
  </si>
  <si>
    <t>1= si / 2 = no</t>
  </si>
  <si>
    <t>Presión aspersor</t>
  </si>
  <si>
    <t>Pc admisible</t>
  </si>
  <si>
    <t>Pc singulares</t>
  </si>
  <si>
    <t>Di teórico</t>
  </si>
  <si>
    <t>Velocidad</t>
  </si>
  <si>
    <t>material</t>
  </si>
  <si>
    <t>d interior</t>
  </si>
  <si>
    <t>DN</t>
  </si>
  <si>
    <t>descripcion</t>
  </si>
  <si>
    <t>m.c.a</t>
  </si>
  <si>
    <t>pvc50-6atm</t>
  </si>
  <si>
    <t>pvc63-6atm</t>
  </si>
  <si>
    <t>pvc75-6atm</t>
  </si>
  <si>
    <t>pvc90-6atm</t>
  </si>
  <si>
    <t>pvc110-6atm</t>
  </si>
  <si>
    <t>pvc125-6atm</t>
  </si>
  <si>
    <t>pvc140-6atm</t>
  </si>
  <si>
    <t>pvc160-6atm</t>
  </si>
  <si>
    <t>pvc180-6atm</t>
  </si>
  <si>
    <t>pvc200-6atm</t>
  </si>
  <si>
    <t>pvc250-6atm</t>
  </si>
  <si>
    <t>pvc315-6atm</t>
  </si>
  <si>
    <t>pvc355-6atm</t>
  </si>
  <si>
    <t>pvc400-6atm</t>
  </si>
  <si>
    <t>pvc500-6atm</t>
  </si>
  <si>
    <t>pvc600-6atm</t>
  </si>
  <si>
    <t>pvc50-10atm</t>
  </si>
  <si>
    <t>pvc63-10atm</t>
  </si>
  <si>
    <t>pvc75-10atm</t>
  </si>
  <si>
    <t>pvc90-10atm</t>
  </si>
  <si>
    <t>pvc110-10atm</t>
  </si>
  <si>
    <t>pvc125-10atm</t>
  </si>
  <si>
    <t>pvc140-10atm</t>
  </si>
  <si>
    <t>pvc160-10atm</t>
  </si>
  <si>
    <t>pvc180-10atm</t>
  </si>
  <si>
    <t>pvc200-10atm</t>
  </si>
  <si>
    <t>pvc250-10atm</t>
  </si>
  <si>
    <t>pvc315-10atm</t>
  </si>
  <si>
    <t>pvc355-10atm</t>
  </si>
  <si>
    <t>pvc400-10atm</t>
  </si>
  <si>
    <t>pvc500-10atm</t>
  </si>
  <si>
    <t>pvc600-10atm</t>
  </si>
  <si>
    <t>4 atm</t>
  </si>
  <si>
    <t>6 atm</t>
  </si>
  <si>
    <t>10 atm</t>
  </si>
  <si>
    <t>16 atm</t>
  </si>
  <si>
    <t>2,5 atm</t>
  </si>
  <si>
    <t>PE100</t>
  </si>
  <si>
    <t>PE50</t>
  </si>
  <si>
    <t>PE32</t>
  </si>
  <si>
    <t>TIPO MATERIAL</t>
  </si>
  <si>
    <t xml:space="preserve"> - </t>
  </si>
  <si>
    <t>Tuberías</t>
  </si>
  <si>
    <t>tipo material</t>
  </si>
  <si>
    <t>DN elegido</t>
  </si>
  <si>
    <t>Dint real</t>
  </si>
  <si>
    <t>Hr Varonese</t>
  </si>
  <si>
    <t>Hr Blasius</t>
  </si>
  <si>
    <t>P inicio real</t>
  </si>
  <si>
    <t>P Inicio sector teórico</t>
  </si>
  <si>
    <t>Distancia L o L/2</t>
  </si>
  <si>
    <t>L 1er as</t>
  </si>
  <si>
    <t xml:space="preserve">Tipo factor </t>
  </si>
  <si>
    <t>Tipo formul</t>
  </si>
  <si>
    <t>tipo L</t>
  </si>
  <si>
    <t>tipo Formula</t>
  </si>
  <si>
    <t>L o L/2</t>
  </si>
  <si>
    <t>F Christiansen Blasius</t>
  </si>
  <si>
    <t>F Christiansen Varone</t>
  </si>
  <si>
    <t>Presión Aspersor</t>
  </si>
  <si>
    <t>Velocidad admisible</t>
  </si>
  <si>
    <t>P carga adm % P Aspersor</t>
  </si>
  <si>
    <t>SI</t>
  </si>
  <si>
    <t>NO</t>
  </si>
  <si>
    <t>Nº Aspersores/Difusores</t>
  </si>
  <si>
    <t>Di real</t>
  </si>
  <si>
    <t xml:space="preserve">P carga máx </t>
  </si>
  <si>
    <t>Presion Asper</t>
  </si>
  <si>
    <t>P carga real</t>
  </si>
  <si>
    <t>Elegido</t>
  </si>
  <si>
    <t>P inicio neces</t>
  </si>
  <si>
    <t>SECTOR MÁS DESFABORABLE (Aspersores o difusores)</t>
  </si>
  <si>
    <t>Tuberías dentro del sector hasta el punto de conexión a la principal</t>
  </si>
  <si>
    <t>TUBERÍA PRINCIPAL</t>
  </si>
  <si>
    <t>(Sin limitación P acometida)</t>
  </si>
  <si>
    <t>Caudal sector</t>
  </si>
  <si>
    <t>calculos en el sector de aspersores o difusores</t>
  </si>
  <si>
    <t>Longitud de la red</t>
  </si>
  <si>
    <t>P final (inicio sector)</t>
  </si>
  <si>
    <t>Caudal distribución</t>
  </si>
  <si>
    <t>P carga Blasius</t>
  </si>
  <si>
    <t>P carga Varonese</t>
  </si>
  <si>
    <t>P carga singulares</t>
  </si>
  <si>
    <t>P final (sector)</t>
  </si>
  <si>
    <t>P incial (cabezal)</t>
  </si>
  <si>
    <t>Caudal de diseño</t>
  </si>
  <si>
    <t>calculos en el la principal (sin restricción en la acometida)</t>
  </si>
  <si>
    <t>CÁLCULO DEL GRUPO DE BOMBEO</t>
  </si>
  <si>
    <t>Cota del agua</t>
  </si>
  <si>
    <t>Cota del grupo bombeo</t>
  </si>
  <si>
    <t>Presión de la instalación</t>
  </si>
  <si>
    <t>P carga en el cabezal</t>
  </si>
  <si>
    <t>P diseño de la bomba</t>
  </si>
  <si>
    <t>Caudal de diseño bomba</t>
  </si>
  <si>
    <t>% P carga singulares cabezal</t>
  </si>
  <si>
    <t>Grupo de Bombeo</t>
  </si>
  <si>
    <t>CV de la bomba</t>
  </si>
  <si>
    <t>Rendimiento</t>
  </si>
  <si>
    <t>Potencia en kW</t>
  </si>
  <si>
    <t>Rendimiento bomba</t>
  </si>
  <si>
    <t>(Con limitación P acometida)</t>
  </si>
  <si>
    <t>P acometida</t>
  </si>
  <si>
    <t>calculos en el la principal (con restricción en la acometida)</t>
  </si>
  <si>
    <t>Di Tubería</t>
  </si>
  <si>
    <t>P carga admisible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</si>
</sst>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0.000"/>
    <numFmt numFmtId="165" formatCode="0.0\ &quot;m&quot;"/>
    <numFmt numFmtId="166" formatCode="0\ &quot;m&quot;"/>
    <numFmt numFmtId="167" formatCode="#,##0\ &quot;l/h&quot;"/>
    <numFmt numFmtId="168" formatCode="0.0\ &quot;atm&quot;"/>
    <numFmt numFmtId="169" formatCode="0.00000\ &quot;m3/s&quot;"/>
    <numFmt numFmtId="170" formatCode="0.0\ &quot;m/s&quot;"/>
    <numFmt numFmtId="171" formatCode="0.0\ &quot;mm&quot;"/>
    <numFmt numFmtId="172" formatCode="0.0"/>
    <numFmt numFmtId="173" formatCode="0\ &quot;mm&quot;"/>
    <numFmt numFmtId="174" formatCode="0.0\ &quot;m.c.a&quot;"/>
    <numFmt numFmtId="175" formatCode="0.00\ &quot;m.c.a&quot;"/>
    <numFmt numFmtId="176" formatCode="0.000\ &quot;m.c.a&quot;"/>
    <numFmt numFmtId="177" formatCode="0.0000\ &quot;m&quot;"/>
    <numFmt numFmtId="178" formatCode="0.0\ &quot;C.V&quot;"/>
    <numFmt numFmtId="179" formatCode="0.00\ &quot;kW&quot;"/>
    <numFmt numFmtId="180" formatCode="0.00\ &quot;mm&quot;"/>
    <numFmt numFmtId="181" formatCode="0.00\ &quot;C.V&quot;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Open Sans"/>
      <family val="2"/>
    </font>
    <font>
      <b/>
      <sz val="10"/>
      <name val="Open Sans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2" fontId="0" fillId="0" borderId="1" xfId="0" applyNumberFormat="1" applyBorder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0" fillId="0" borderId="5" xfId="0" applyBorder="1"/>
    <xf numFmtId="165" fontId="0" fillId="0" borderId="0" xfId="0" applyNumberFormat="1" applyBorder="1"/>
    <xf numFmtId="0" fontId="0" fillId="0" borderId="0" xfId="0" applyBorder="1"/>
    <xf numFmtId="167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6" xfId="0" applyBorder="1"/>
    <xf numFmtId="0" fontId="0" fillId="4" borderId="3" xfId="0" applyFill="1" applyBorder="1"/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2" fillId="0" borderId="0" xfId="0" applyFont="1"/>
    <xf numFmtId="9" fontId="0" fillId="0" borderId="0" xfId="0" applyNumberFormat="1"/>
    <xf numFmtId="171" fontId="2" fillId="0" borderId="0" xfId="0" applyNumberFormat="1" applyFont="1" applyBorder="1"/>
    <xf numFmtId="1" fontId="0" fillId="0" borderId="0" xfId="0" applyNumberFormat="1"/>
    <xf numFmtId="0" fontId="0" fillId="0" borderId="1" xfId="0" applyBorder="1" applyAlignment="1">
      <alignment horizontal="center"/>
    </xf>
    <xf numFmtId="42" fontId="0" fillId="0" borderId="10" xfId="2" applyFont="1" applyFill="1" applyBorder="1" applyAlignment="1">
      <alignment horizontal="center"/>
    </xf>
    <xf numFmtId="172" fontId="4" fillId="0" borderId="1" xfId="0" applyNumberFormat="1" applyFont="1" applyBorder="1"/>
    <xf numFmtId="0" fontId="0" fillId="8" borderId="1" xfId="0" applyFill="1" applyBorder="1"/>
    <xf numFmtId="0" fontId="0" fillId="9" borderId="1" xfId="0" applyFill="1" applyBorder="1"/>
    <xf numFmtId="44" fontId="0" fillId="0" borderId="1" xfId="1" applyFont="1" applyBorder="1"/>
    <xf numFmtId="0" fontId="5" fillId="0" borderId="0" xfId="0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1" xfId="0" applyFont="1" applyBorder="1"/>
    <xf numFmtId="0" fontId="9" fillId="0" borderId="1" xfId="0" applyFont="1" applyBorder="1" applyAlignment="1">
      <alignment horizontal="right" vertical="center" wrapText="1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173" fontId="10" fillId="0" borderId="1" xfId="0" applyNumberFormat="1" applyFont="1" applyBorder="1" applyAlignment="1">
      <alignment horizontal="right" vertical="center" wrapText="1"/>
    </xf>
    <xf numFmtId="0" fontId="12" fillId="0" borderId="1" xfId="0" applyFont="1" applyBorder="1" applyAlignment="1">
      <alignment horizontal="center"/>
    </xf>
    <xf numFmtId="0" fontId="7" fillId="4" borderId="0" xfId="0" applyFont="1" applyFill="1"/>
    <xf numFmtId="171" fontId="7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12" fillId="0" borderId="0" xfId="0" applyFont="1"/>
    <xf numFmtId="0" fontId="13" fillId="0" borderId="1" xfId="0" applyFont="1" applyBorder="1" applyAlignment="1">
      <alignment horizontal="center"/>
    </xf>
    <xf numFmtId="0" fontId="14" fillId="11" borderId="1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13" borderId="0" xfId="0" applyFont="1" applyFill="1" applyBorder="1"/>
    <xf numFmtId="165" fontId="15" fillId="13" borderId="0" xfId="0" applyNumberFormat="1" applyFont="1" applyFill="1" applyBorder="1"/>
    <xf numFmtId="0" fontId="0" fillId="3" borderId="0" xfId="0" applyFill="1" applyBorder="1"/>
    <xf numFmtId="0" fontId="0" fillId="11" borderId="0" xfId="0" applyFill="1" applyBorder="1"/>
    <xf numFmtId="169" fontId="2" fillId="11" borderId="0" xfId="0" applyNumberFormat="1" applyFont="1" applyFill="1" applyBorder="1"/>
    <xf numFmtId="0" fontId="0" fillId="14" borderId="0" xfId="0" applyFill="1" applyBorder="1"/>
    <xf numFmtId="171" fontId="2" fillId="14" borderId="0" xfId="0" applyNumberFormat="1" applyFont="1" applyFill="1" applyBorder="1"/>
    <xf numFmtId="0" fontId="16" fillId="0" borderId="0" xfId="0" applyFont="1" applyFill="1" applyBorder="1" applyAlignment="1">
      <alignment horizontal="right"/>
    </xf>
    <xf numFmtId="166" fontId="0" fillId="0" borderId="0" xfId="0" applyNumberFormat="1" applyAlignment="1">
      <alignment horizontal="center"/>
    </xf>
    <xf numFmtId="0" fontId="0" fillId="7" borderId="0" xfId="0" applyFill="1"/>
    <xf numFmtId="0" fontId="0" fillId="7" borderId="6" xfId="0" applyFill="1" applyBorder="1"/>
    <xf numFmtId="0" fontId="0" fillId="16" borderId="6" xfId="0" applyFill="1" applyBorder="1"/>
    <xf numFmtId="0" fontId="2" fillId="0" borderId="11" xfId="0" applyFont="1" applyFill="1" applyBorder="1"/>
    <xf numFmtId="0" fontId="2" fillId="0" borderId="12" xfId="0" applyFont="1" applyBorder="1"/>
    <xf numFmtId="0" fontId="3" fillId="0" borderId="0" xfId="0" applyFont="1"/>
    <xf numFmtId="0" fontId="2" fillId="10" borderId="0" xfId="0" applyFont="1" applyFill="1" applyBorder="1" applyAlignment="1">
      <alignment horizontal="right"/>
    </xf>
    <xf numFmtId="0" fontId="2" fillId="17" borderId="0" xfId="0" applyFont="1" applyFill="1" applyBorder="1" applyAlignment="1">
      <alignment horizontal="right"/>
    </xf>
    <xf numFmtId="0" fontId="0" fillId="0" borderId="3" xfId="0" applyBorder="1"/>
    <xf numFmtId="174" fontId="2" fillId="14" borderId="6" xfId="0" applyNumberFormat="1" applyFont="1" applyFill="1" applyBorder="1"/>
    <xf numFmtId="175" fontId="2" fillId="10" borderId="6" xfId="0" applyNumberFormat="1" applyFont="1" applyFill="1" applyBorder="1"/>
    <xf numFmtId="175" fontId="2" fillId="10" borderId="12" xfId="0" applyNumberFormat="1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165" fontId="0" fillId="14" borderId="0" xfId="0" applyNumberFormat="1" applyFont="1" applyFill="1" applyBorder="1"/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171" fontId="0" fillId="0" borderId="6" xfId="0" applyNumberFormat="1" applyFont="1" applyBorder="1"/>
    <xf numFmtId="165" fontId="0" fillId="12" borderId="0" xfId="0" applyNumberFormat="1" applyFont="1" applyFill="1" applyBorder="1"/>
    <xf numFmtId="0" fontId="2" fillId="0" borderId="12" xfId="0" applyFont="1" applyBorder="1" applyAlignment="1">
      <alignment horizontal="right"/>
    </xf>
    <xf numFmtId="165" fontId="0" fillId="10" borderId="0" xfId="0" applyNumberFormat="1" applyFont="1" applyFill="1" applyBorder="1"/>
    <xf numFmtId="165" fontId="0" fillId="0" borderId="0" xfId="0" applyNumberFormat="1" applyFont="1" applyBorder="1"/>
    <xf numFmtId="0" fontId="0" fillId="0" borderId="0" xfId="0" applyFont="1" applyBorder="1" applyAlignment="1">
      <alignment horizontal="center"/>
    </xf>
    <xf numFmtId="0" fontId="0" fillId="0" borderId="6" xfId="0" applyFont="1" applyBorder="1"/>
    <xf numFmtId="167" fontId="0" fillId="3" borderId="0" xfId="0" applyNumberFormat="1" applyFont="1" applyFill="1" applyBorder="1"/>
    <xf numFmtId="168" fontId="0" fillId="3" borderId="0" xfId="0" applyNumberFormat="1" applyFont="1" applyFill="1" applyBorder="1"/>
    <xf numFmtId="0" fontId="0" fillId="0" borderId="11" xfId="0" applyFont="1" applyBorder="1"/>
    <xf numFmtId="168" fontId="0" fillId="16" borderId="0" xfId="0" applyNumberFormat="1" applyFont="1" applyFill="1" applyBorder="1"/>
    <xf numFmtId="167" fontId="0" fillId="0" borderId="12" xfId="0" applyNumberFormat="1" applyFont="1" applyBorder="1"/>
    <xf numFmtId="170" fontId="0" fillId="3" borderId="0" xfId="0" applyNumberFormat="1" applyFont="1" applyFill="1" applyBorder="1"/>
    <xf numFmtId="9" fontId="0" fillId="2" borderId="0" xfId="0" applyNumberFormat="1" applyFont="1" applyFill="1" applyBorder="1"/>
    <xf numFmtId="9" fontId="0" fillId="5" borderId="0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2" fillId="0" borderId="0" xfId="0" applyFont="1" applyBorder="1"/>
    <xf numFmtId="9" fontId="0" fillId="3" borderId="6" xfId="0" applyNumberFormat="1" applyFill="1" applyBorder="1"/>
    <xf numFmtId="174" fontId="0" fillId="15" borderId="6" xfId="0" applyNumberFormat="1" applyFill="1" applyBorder="1"/>
    <xf numFmtId="164" fontId="0" fillId="7" borderId="6" xfId="0" applyNumberFormat="1" applyFill="1" applyBorder="1"/>
    <xf numFmtId="169" fontId="0" fillId="0" borderId="0" xfId="0" applyNumberFormat="1" applyBorder="1"/>
    <xf numFmtId="0" fontId="0" fillId="0" borderId="5" xfId="0" applyBorder="1" applyAlignment="1">
      <alignment horizontal="right"/>
    </xf>
    <xf numFmtId="170" fontId="0" fillId="3" borderId="0" xfId="0" applyNumberFormat="1" applyFill="1" applyBorder="1"/>
    <xf numFmtId="0" fontId="0" fillId="0" borderId="5" xfId="0" applyFill="1" applyBorder="1" applyAlignment="1">
      <alignment horizontal="right"/>
    </xf>
    <xf numFmtId="172" fontId="0" fillId="0" borderId="0" xfId="0" applyNumberFormat="1" applyBorder="1"/>
    <xf numFmtId="0" fontId="0" fillId="4" borderId="0" xfId="0" applyFill="1" applyBorder="1"/>
    <xf numFmtId="0" fontId="2" fillId="0" borderId="6" xfId="0" applyFont="1" applyBorder="1" applyAlignment="1">
      <alignment horizontal="center"/>
    </xf>
    <xf numFmtId="177" fontId="0" fillId="0" borderId="0" xfId="0" applyNumberFormat="1" applyBorder="1"/>
    <xf numFmtId="0" fontId="16" fillId="0" borderId="2" xfId="0" applyFont="1" applyBorder="1"/>
    <xf numFmtId="175" fontId="0" fillId="16" borderId="13" xfId="0" applyNumberFormat="1" applyFill="1" applyBorder="1"/>
    <xf numFmtId="175" fontId="2" fillId="17" borderId="6" xfId="0" applyNumberFormat="1" applyFont="1" applyFill="1" applyBorder="1"/>
    <xf numFmtId="175" fontId="2" fillId="6" borderId="6" xfId="0" applyNumberFormat="1" applyFont="1" applyFill="1" applyBorder="1"/>
    <xf numFmtId="174" fontId="2" fillId="14" borderId="12" xfId="0" applyNumberFormat="1" applyFont="1" applyFill="1" applyBorder="1"/>
    <xf numFmtId="167" fontId="0" fillId="16" borderId="0" xfId="0" applyNumberFormat="1" applyFill="1" applyBorder="1"/>
    <xf numFmtId="0" fontId="7" fillId="0" borderId="0" xfId="0" applyFont="1" applyAlignment="1">
      <alignment horizontal="left"/>
    </xf>
    <xf numFmtId="0" fontId="3" fillId="0" borderId="2" xfId="0" applyFont="1" applyFill="1" applyBorder="1"/>
    <xf numFmtId="0" fontId="0" fillId="0" borderId="5" xfId="0" applyFont="1" applyFill="1" applyBorder="1"/>
    <xf numFmtId="0" fontId="0" fillId="0" borderId="0" xfId="0" applyBorder="1" applyAlignment="1">
      <alignment horizontal="left"/>
    </xf>
    <xf numFmtId="175" fontId="0" fillId="0" borderId="6" xfId="0" applyNumberFormat="1" applyBorder="1"/>
    <xf numFmtId="175" fontId="2" fillId="7" borderId="6" xfId="0" applyNumberFormat="1" applyFont="1" applyFill="1" applyBorder="1"/>
    <xf numFmtId="175" fontId="0" fillId="12" borderId="6" xfId="0" applyNumberFormat="1" applyFont="1" applyFill="1" applyBorder="1"/>
    <xf numFmtId="0" fontId="7" fillId="0" borderId="4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/>
    <xf numFmtId="175" fontId="0" fillId="10" borderId="12" xfId="0" applyNumberFormat="1" applyFill="1" applyBorder="1"/>
    <xf numFmtId="167" fontId="0" fillId="17" borderId="12" xfId="0" applyNumberFormat="1" applyFill="1" applyBorder="1"/>
    <xf numFmtId="178" fontId="0" fillId="13" borderId="12" xfId="0" applyNumberFormat="1" applyFill="1" applyBorder="1" applyAlignment="1">
      <alignment horizontal="right" indent="1"/>
    </xf>
    <xf numFmtId="0" fontId="2" fillId="0" borderId="2" xfId="0" applyFont="1" applyBorder="1"/>
    <xf numFmtId="175" fontId="0" fillId="0" borderId="0" xfId="0" applyNumberFormat="1" applyBorder="1"/>
    <xf numFmtId="0" fontId="0" fillId="0" borderId="5" xfId="0" applyBorder="1" applyAlignment="1">
      <alignment horizontal="left"/>
    </xf>
    <xf numFmtId="9" fontId="0" fillId="0" borderId="0" xfId="0" applyNumberFormat="1" applyBorder="1"/>
    <xf numFmtId="179" fontId="0" fillId="0" borderId="0" xfId="0" applyNumberFormat="1" applyBorder="1" applyAlignment="1">
      <alignment horizontal="right" indent="1"/>
    </xf>
    <xf numFmtId="0" fontId="2" fillId="0" borderId="3" xfId="0" applyFont="1" applyBorder="1"/>
    <xf numFmtId="0" fontId="0" fillId="0" borderId="0" xfId="0" applyBorder="1" applyAlignment="1">
      <alignment horizontal="right"/>
    </xf>
    <xf numFmtId="176" fontId="0" fillId="0" borderId="0" xfId="0" applyNumberFormat="1" applyBorder="1"/>
    <xf numFmtId="0" fontId="0" fillId="3" borderId="5" xfId="0" applyFill="1" applyBorder="1"/>
    <xf numFmtId="9" fontId="0" fillId="0" borderId="6" xfId="0" applyNumberFormat="1" applyBorder="1"/>
    <xf numFmtId="0" fontId="0" fillId="14" borderId="5" xfId="0" applyFill="1" applyBorder="1"/>
    <xf numFmtId="169" fontId="0" fillId="0" borderId="6" xfId="0" applyNumberFormat="1" applyBorder="1"/>
    <xf numFmtId="179" fontId="0" fillId="0" borderId="6" xfId="0" applyNumberFormat="1" applyBorder="1"/>
    <xf numFmtId="0" fontId="2" fillId="17" borderId="5" xfId="0" applyFont="1" applyFill="1" applyBorder="1" applyAlignment="1">
      <alignment horizontal="right"/>
    </xf>
    <xf numFmtId="0" fontId="16" fillId="0" borderId="5" xfId="0" applyFont="1" applyFill="1" applyBorder="1" applyAlignment="1">
      <alignment horizontal="right"/>
    </xf>
    <xf numFmtId="0" fontId="2" fillId="10" borderId="5" xfId="0" applyFont="1" applyFill="1" applyBorder="1" applyAlignment="1">
      <alignment horizontal="right"/>
    </xf>
    <xf numFmtId="0" fontId="0" fillId="0" borderId="0" xfId="0" applyFill="1" applyBorder="1"/>
    <xf numFmtId="0" fontId="0" fillId="0" borderId="14" xfId="0" applyBorder="1"/>
    <xf numFmtId="2" fontId="9" fillId="0" borderId="1" xfId="0" applyNumberFormat="1" applyFont="1" applyBorder="1" applyAlignment="1">
      <alignment horizontal="right" vertical="center" wrapText="1"/>
    </xf>
    <xf numFmtId="180" fontId="2" fillId="0" borderId="0" xfId="0" applyNumberFormat="1" applyFont="1" applyBorder="1"/>
    <xf numFmtId="180" fontId="2" fillId="14" borderId="0" xfId="0" applyNumberFormat="1" applyFont="1" applyFill="1" applyBorder="1"/>
    <xf numFmtId="181" fontId="0" fillId="0" borderId="6" xfId="0" applyNumberFormat="1" applyBorder="1"/>
  </cellXfs>
  <cellStyles count="3">
    <cellStyle name="Moneda" xfId="1" builtinId="4"/>
    <cellStyle name="Moneda [0]" xfId="2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calculos!$B$4" fmlaRange="calculos!$A$2:$A$3" noThreeD="1" sel="1" val="0"/>
</file>

<file path=xl/ctrlProps/ctrlProp2.xml><?xml version="1.0" encoding="utf-8"?>
<formControlPr xmlns="http://schemas.microsoft.com/office/spreadsheetml/2009/9/main" objectType="Drop" dropStyle="combo" dx="16" fmlaLink="calculos!$B$9" fmlaRange="calculos!$C$9:$C$10" noThreeD="1" sel="1" val="0"/>
</file>

<file path=xl/ctrlProps/ctrlProp3.xml><?xml version="1.0" encoding="utf-8"?>
<formControlPr xmlns="http://schemas.microsoft.com/office/spreadsheetml/2009/9/main" objectType="Drop" dropStyle="combo" dx="16" fmlaLink="calculos!$B$16" fmlaRange="PE!$D$41:$D$52" noThreeD="1" sel="1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2</xdr:col>
          <xdr:colOff>504825</xdr:colOff>
          <xdr:row>7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28575</xdr:rowOff>
        </xdr:from>
        <xdr:to>
          <xdr:col>2</xdr:col>
          <xdr:colOff>495300</xdr:colOff>
          <xdr:row>14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57"/>
  <sheetViews>
    <sheetView showGridLines="0" tabSelected="1" topLeftCell="A40" zoomScale="110" zoomScaleNormal="110" workbookViewId="0">
      <selection activeCell="B39" sqref="B39"/>
    </sheetView>
  </sheetViews>
  <sheetFormatPr baseColWidth="10" defaultColWidth="9.140625" defaultRowHeight="15" x14ac:dyDescent="0.25"/>
  <cols>
    <col min="1" max="1" width="26.5703125" customWidth="1"/>
    <col min="2" max="2" width="10.7109375" customWidth="1"/>
    <col min="3" max="3" width="8.42578125" customWidth="1"/>
    <col min="4" max="4" width="3.140625" customWidth="1"/>
    <col min="5" max="5" width="14.7109375" customWidth="1"/>
    <col min="6" max="6" width="24.42578125" customWidth="1"/>
  </cols>
  <sheetData>
    <row r="1" spans="1:7" ht="15.75" x14ac:dyDescent="0.25">
      <c r="A1" s="60" t="s">
        <v>103</v>
      </c>
      <c r="F1" s="112" t="s">
        <v>106</v>
      </c>
    </row>
    <row r="2" spans="1:7" ht="15.75" thickBot="1" x14ac:dyDescent="0.3">
      <c r="A2" t="s">
        <v>104</v>
      </c>
    </row>
    <row r="3" spans="1:7" ht="9" customHeight="1" x14ac:dyDescent="0.25">
      <c r="A3" s="67"/>
      <c r="B3" s="68"/>
      <c r="C3" s="68"/>
      <c r="D3" s="68"/>
      <c r="E3" s="68"/>
      <c r="F3" s="69"/>
    </row>
    <row r="4" spans="1:7" ht="16.5" thickBot="1" x14ac:dyDescent="0.3">
      <c r="A4" s="70" t="s">
        <v>96</v>
      </c>
      <c r="B4" s="71">
        <v>9</v>
      </c>
      <c r="C4" s="72"/>
      <c r="D4" s="72"/>
      <c r="E4" s="92" t="s">
        <v>25</v>
      </c>
      <c r="F4" s="74">
        <f>calculos!D15</f>
        <v>33.378398101349795</v>
      </c>
      <c r="G4" s="30"/>
    </row>
    <row r="5" spans="1:7" ht="16.5" thickBot="1" x14ac:dyDescent="0.3">
      <c r="A5" s="70" t="s">
        <v>0</v>
      </c>
      <c r="B5" s="75">
        <v>10</v>
      </c>
      <c r="C5" s="72"/>
      <c r="D5" s="72"/>
      <c r="E5" s="93" t="s">
        <v>76</v>
      </c>
      <c r="F5" s="76" t="str">
        <f>calculos!D16</f>
        <v>PE100 - 6 atm - Dn40</v>
      </c>
      <c r="G5" s="30"/>
    </row>
    <row r="6" spans="1:7" ht="16.5" thickBot="1" x14ac:dyDescent="0.3">
      <c r="A6" s="70" t="s">
        <v>1</v>
      </c>
      <c r="B6" s="77">
        <v>5</v>
      </c>
      <c r="C6" s="72"/>
      <c r="D6" s="72"/>
      <c r="E6" s="92" t="s">
        <v>97</v>
      </c>
      <c r="F6" s="74">
        <f>calculos!D17</f>
        <v>35.200000000000003</v>
      </c>
      <c r="G6" s="30"/>
    </row>
    <row r="7" spans="1:7" ht="16.5" thickBot="1" x14ac:dyDescent="0.3">
      <c r="A7" s="70" t="s">
        <v>19</v>
      </c>
      <c r="B7" s="78">
        <f>calculos!D12</f>
        <v>42.5</v>
      </c>
      <c r="C7" s="72"/>
      <c r="D7" s="72"/>
      <c r="E7" s="93" t="s">
        <v>99</v>
      </c>
      <c r="F7" s="110">
        <f>calculos!F2</f>
        <v>20</v>
      </c>
      <c r="G7" s="30"/>
    </row>
    <row r="8" spans="1:7" ht="15.75" x14ac:dyDescent="0.25">
      <c r="A8" s="70" t="s">
        <v>2</v>
      </c>
      <c r="B8" s="79"/>
      <c r="C8" s="72"/>
      <c r="D8" s="72"/>
      <c r="E8" s="72" t="s">
        <v>98</v>
      </c>
      <c r="F8" s="118">
        <f>calculos!F2*calculos!F3</f>
        <v>4</v>
      </c>
      <c r="G8" s="30"/>
    </row>
    <row r="9" spans="1:7" ht="3.75" customHeight="1" x14ac:dyDescent="0.25">
      <c r="A9" s="70"/>
      <c r="B9" s="79"/>
      <c r="C9" s="72"/>
      <c r="D9" s="72"/>
      <c r="E9" s="72"/>
      <c r="F9" s="80"/>
      <c r="G9" s="30"/>
    </row>
    <row r="10" spans="1:7" ht="16.5" thickBot="1" x14ac:dyDescent="0.3">
      <c r="A10" s="70" t="s">
        <v>3</v>
      </c>
      <c r="B10" s="81">
        <v>700</v>
      </c>
      <c r="C10" s="72"/>
      <c r="D10" s="72"/>
      <c r="E10" s="73" t="s">
        <v>100</v>
      </c>
      <c r="F10" s="117">
        <f>calculos!F10</f>
        <v>0.53844331600292417</v>
      </c>
      <c r="G10" s="30"/>
    </row>
    <row r="11" spans="1:7" ht="16.5" thickBot="1" x14ac:dyDescent="0.3">
      <c r="A11" s="70" t="s">
        <v>22</v>
      </c>
      <c r="B11" s="82">
        <v>2</v>
      </c>
      <c r="C11" s="72"/>
      <c r="D11" s="72"/>
      <c r="E11" s="83" t="s">
        <v>102</v>
      </c>
      <c r="F11" s="66">
        <f>calculos!F13</f>
        <v>20.538443316002923</v>
      </c>
      <c r="G11" s="30"/>
    </row>
    <row r="12" spans="1:7" ht="4.5" customHeight="1" x14ac:dyDescent="0.25">
      <c r="A12" s="70"/>
      <c r="B12" s="84"/>
      <c r="C12" s="72"/>
      <c r="D12" s="72"/>
      <c r="E12" s="72"/>
      <c r="F12" s="80"/>
      <c r="G12" s="30"/>
    </row>
    <row r="13" spans="1:7" ht="16.5" thickBot="1" x14ac:dyDescent="0.3">
      <c r="A13" s="70" t="s">
        <v>4</v>
      </c>
      <c r="B13" s="72"/>
      <c r="C13" s="72"/>
      <c r="D13" s="72"/>
      <c r="E13" s="72"/>
      <c r="F13" s="80"/>
      <c r="G13" s="30"/>
    </row>
    <row r="14" spans="1:7" ht="16.5" thickBot="1" x14ac:dyDescent="0.3">
      <c r="A14" s="70" t="s">
        <v>74</v>
      </c>
      <c r="B14" s="72"/>
      <c r="C14" s="72"/>
      <c r="D14" s="72"/>
      <c r="E14" s="83" t="s">
        <v>107</v>
      </c>
      <c r="F14" s="85">
        <f>calculos!B7</f>
        <v>6300</v>
      </c>
      <c r="G14" s="30"/>
    </row>
    <row r="15" spans="1:7" ht="15.75" x14ac:dyDescent="0.25">
      <c r="A15" s="70"/>
      <c r="B15" s="72"/>
      <c r="C15" s="72"/>
      <c r="D15" s="72"/>
      <c r="E15" s="72"/>
      <c r="F15" s="80"/>
      <c r="G15" s="30"/>
    </row>
    <row r="16" spans="1:7" ht="15.75" x14ac:dyDescent="0.25">
      <c r="A16" s="70" t="s">
        <v>92</v>
      </c>
      <c r="B16" s="86">
        <v>1</v>
      </c>
      <c r="C16" s="72"/>
      <c r="D16" s="72"/>
      <c r="E16" s="72"/>
      <c r="F16" s="80"/>
      <c r="G16" s="30"/>
    </row>
    <row r="17" spans="1:7" ht="15.75" x14ac:dyDescent="0.25">
      <c r="A17" s="70" t="s">
        <v>93</v>
      </c>
      <c r="B17" s="87">
        <v>0.2</v>
      </c>
      <c r="C17" s="72"/>
      <c r="D17" s="72"/>
      <c r="E17" s="72"/>
      <c r="F17" s="80"/>
      <c r="G17" s="30"/>
    </row>
    <row r="18" spans="1:7" ht="15.75" x14ac:dyDescent="0.25">
      <c r="A18" s="70" t="s">
        <v>114</v>
      </c>
      <c r="B18" s="88">
        <v>0.15</v>
      </c>
      <c r="C18" s="72"/>
      <c r="D18" s="72"/>
      <c r="E18" s="72"/>
      <c r="F18" s="80"/>
      <c r="G18" s="30"/>
    </row>
    <row r="19" spans="1:7" ht="15.75" thickBot="1" x14ac:dyDescent="0.3">
      <c r="A19" s="89"/>
      <c r="B19" s="90"/>
      <c r="C19" s="90"/>
      <c r="D19" s="90"/>
      <c r="E19" s="90"/>
      <c r="F19" s="91"/>
    </row>
    <row r="20" spans="1:7" ht="7.5" customHeight="1" thickBot="1" x14ac:dyDescent="0.3"/>
    <row r="21" spans="1:7" ht="15.75" x14ac:dyDescent="0.25">
      <c r="A21" s="113" t="s">
        <v>105</v>
      </c>
      <c r="B21" s="63"/>
      <c r="C21" s="63"/>
      <c r="D21" s="63"/>
      <c r="E21" s="63"/>
      <c r="F21" s="119" t="s">
        <v>106</v>
      </c>
    </row>
    <row r="22" spans="1:7" x14ac:dyDescent="0.25">
      <c r="A22" s="7"/>
      <c r="B22" s="9"/>
      <c r="C22" s="9"/>
      <c r="D22" s="9"/>
      <c r="E22" s="9"/>
      <c r="F22" s="15"/>
    </row>
    <row r="23" spans="1:7" ht="15.75" thickBot="1" x14ac:dyDescent="0.3">
      <c r="A23" s="7" t="s">
        <v>109</v>
      </c>
      <c r="B23" s="75">
        <v>300</v>
      </c>
      <c r="C23" s="9"/>
      <c r="D23" s="9"/>
      <c r="E23" s="92" t="s">
        <v>25</v>
      </c>
      <c r="F23" s="74">
        <f>calculos!B26</f>
        <v>47.20418328521724</v>
      </c>
    </row>
    <row r="24" spans="1:7" ht="15.75" thickBot="1" x14ac:dyDescent="0.3">
      <c r="A24" s="70" t="s">
        <v>114</v>
      </c>
      <c r="B24" s="88">
        <v>0.15</v>
      </c>
      <c r="C24" s="9"/>
      <c r="D24" s="9"/>
      <c r="E24" s="93" t="s">
        <v>76</v>
      </c>
      <c r="F24" s="76" t="str">
        <f>calculos!B27</f>
        <v>PE100 - 6 atm - Dn63</v>
      </c>
    </row>
    <row r="25" spans="1:7" x14ac:dyDescent="0.25">
      <c r="A25" s="70" t="s">
        <v>92</v>
      </c>
      <c r="B25" s="86">
        <v>1</v>
      </c>
      <c r="C25" s="9"/>
      <c r="D25" s="9"/>
      <c r="E25" s="92" t="s">
        <v>97</v>
      </c>
      <c r="F25" s="74">
        <f>calculos!B28</f>
        <v>55.4</v>
      </c>
    </row>
    <row r="26" spans="1:7" x14ac:dyDescent="0.25">
      <c r="A26" s="114" t="s">
        <v>117</v>
      </c>
      <c r="B26" s="111">
        <f>calculos!B7</f>
        <v>6300</v>
      </c>
      <c r="C26" s="9"/>
      <c r="D26" s="9"/>
      <c r="E26" s="115" t="s">
        <v>115</v>
      </c>
      <c r="F26" s="116">
        <f>F11</f>
        <v>20.538443316002923</v>
      </c>
    </row>
    <row r="27" spans="1:7" ht="15.75" thickBot="1" x14ac:dyDescent="0.3">
      <c r="A27" s="7"/>
      <c r="B27" s="9"/>
      <c r="C27" s="9"/>
      <c r="D27" s="9"/>
      <c r="E27" s="73" t="s">
        <v>100</v>
      </c>
      <c r="F27" s="117">
        <f>calculos!B33</f>
        <v>3.8323678586691288</v>
      </c>
    </row>
    <row r="28" spans="1:7" ht="15.75" thickBot="1" x14ac:dyDescent="0.3">
      <c r="A28" s="7"/>
      <c r="B28" s="9"/>
      <c r="C28" s="9"/>
      <c r="D28" s="9"/>
      <c r="E28" s="83" t="s">
        <v>116</v>
      </c>
      <c r="F28" s="66">
        <f>calculos!B36</f>
        <v>24.370811174672053</v>
      </c>
    </row>
    <row r="29" spans="1:7" x14ac:dyDescent="0.25">
      <c r="A29" s="7"/>
      <c r="B29" s="9"/>
      <c r="C29" s="9"/>
      <c r="D29" s="9"/>
      <c r="E29" s="9"/>
      <c r="F29" s="15"/>
    </row>
    <row r="30" spans="1:7" x14ac:dyDescent="0.25">
      <c r="A30" s="7"/>
      <c r="B30" s="9"/>
      <c r="C30" s="9"/>
      <c r="D30" s="9"/>
      <c r="E30" s="9"/>
      <c r="F30" s="15"/>
    </row>
    <row r="31" spans="1:7" ht="15.75" thickBot="1" x14ac:dyDescent="0.3">
      <c r="A31" s="11"/>
      <c r="B31" s="12"/>
      <c r="C31" s="12"/>
      <c r="D31" s="12"/>
      <c r="E31" s="12"/>
      <c r="F31" s="13"/>
    </row>
    <row r="32" spans="1:7" ht="15.75" thickBot="1" x14ac:dyDescent="0.3"/>
    <row r="33" spans="1:6" x14ac:dyDescent="0.25">
      <c r="A33" s="125" t="s">
        <v>119</v>
      </c>
      <c r="B33" s="63"/>
      <c r="C33" s="63"/>
      <c r="D33" s="63"/>
      <c r="E33" s="63"/>
      <c r="F33" s="14"/>
    </row>
    <row r="34" spans="1:6" x14ac:dyDescent="0.25">
      <c r="A34" s="7"/>
      <c r="B34" s="9"/>
      <c r="C34" s="9"/>
      <c r="D34" s="9"/>
      <c r="E34" s="9"/>
      <c r="F34" s="15"/>
    </row>
    <row r="35" spans="1:6" x14ac:dyDescent="0.25">
      <c r="A35" s="7" t="s">
        <v>120</v>
      </c>
      <c r="B35" s="75">
        <v>0</v>
      </c>
      <c r="C35" s="9"/>
      <c r="D35" s="9"/>
      <c r="E35" s="9"/>
      <c r="F35" s="15"/>
    </row>
    <row r="36" spans="1:6" x14ac:dyDescent="0.25">
      <c r="A36" s="7" t="s">
        <v>121</v>
      </c>
      <c r="B36" s="75">
        <v>0</v>
      </c>
      <c r="C36" s="9"/>
      <c r="D36" s="9"/>
      <c r="E36" s="9"/>
      <c r="F36" s="15"/>
    </row>
    <row r="37" spans="1:6" x14ac:dyDescent="0.25">
      <c r="A37" s="7" t="s">
        <v>122</v>
      </c>
      <c r="B37" s="126">
        <f>F28</f>
        <v>24.370811174672053</v>
      </c>
      <c r="C37" s="9"/>
      <c r="D37" s="9"/>
      <c r="E37" s="9"/>
      <c r="F37" s="15"/>
    </row>
    <row r="38" spans="1:6" x14ac:dyDescent="0.25">
      <c r="A38" s="7" t="s">
        <v>126</v>
      </c>
      <c r="B38" s="88">
        <v>0.2</v>
      </c>
      <c r="C38" s="9"/>
      <c r="D38" s="9"/>
      <c r="E38" s="9"/>
      <c r="F38" s="15"/>
    </row>
    <row r="39" spans="1:6" ht="15.75" thickBot="1" x14ac:dyDescent="0.3">
      <c r="A39" s="7" t="s">
        <v>123</v>
      </c>
      <c r="B39" s="126">
        <f>calculos!F26</f>
        <v>4.8741622349344107</v>
      </c>
      <c r="C39" s="9"/>
      <c r="D39" s="9"/>
      <c r="E39" s="9"/>
      <c r="F39" s="15"/>
    </row>
    <row r="40" spans="1:6" ht="15.75" thickBot="1" x14ac:dyDescent="0.3">
      <c r="A40" s="121" t="s">
        <v>124</v>
      </c>
      <c r="B40" s="122">
        <f>calculos!F27</f>
        <v>29.244973409606462</v>
      </c>
      <c r="C40" s="9"/>
      <c r="D40" s="9"/>
      <c r="E40" s="9"/>
      <c r="F40" s="15"/>
    </row>
    <row r="41" spans="1:6" ht="15.75" thickBot="1" x14ac:dyDescent="0.3">
      <c r="A41" s="121" t="s">
        <v>125</v>
      </c>
      <c r="B41" s="123">
        <f>B26</f>
        <v>6300</v>
      </c>
      <c r="C41" s="9"/>
      <c r="D41" s="9"/>
      <c r="E41" s="9"/>
      <c r="F41" s="15"/>
    </row>
    <row r="42" spans="1:6" ht="15.75" thickBot="1" x14ac:dyDescent="0.3">
      <c r="A42" s="127" t="s">
        <v>131</v>
      </c>
      <c r="B42" s="128">
        <v>0.75</v>
      </c>
      <c r="C42" s="9"/>
      <c r="D42" s="9"/>
      <c r="E42" s="9"/>
      <c r="F42" s="15"/>
    </row>
    <row r="43" spans="1:6" ht="15.75" thickBot="1" x14ac:dyDescent="0.3">
      <c r="A43" s="120" t="s">
        <v>128</v>
      </c>
      <c r="B43" s="124">
        <f>calculos!F30</f>
        <v>0.90984361718775653</v>
      </c>
      <c r="C43" s="9"/>
      <c r="D43" s="9"/>
      <c r="E43" s="9"/>
      <c r="F43" s="15"/>
    </row>
    <row r="44" spans="1:6" x14ac:dyDescent="0.25">
      <c r="A44" s="127" t="s">
        <v>130</v>
      </c>
      <c r="B44" s="129">
        <f>calculos!F31</f>
        <v>0.66909785877535466</v>
      </c>
      <c r="C44" s="9"/>
      <c r="D44" s="9"/>
      <c r="E44" s="9"/>
      <c r="F44" s="15"/>
    </row>
    <row r="45" spans="1:6" ht="15.75" thickBot="1" x14ac:dyDescent="0.3">
      <c r="A45" s="11"/>
      <c r="B45" s="12"/>
      <c r="C45" s="12"/>
      <c r="D45" s="12"/>
      <c r="E45" s="12"/>
      <c r="F45" s="13"/>
    </row>
    <row r="46" spans="1:6" ht="15.75" thickBot="1" x14ac:dyDescent="0.3"/>
    <row r="47" spans="1:6" ht="15.75" x14ac:dyDescent="0.25">
      <c r="A47" s="113" t="s">
        <v>105</v>
      </c>
      <c r="B47" s="63"/>
      <c r="C47" s="63"/>
      <c r="D47" s="63"/>
      <c r="E47" s="63"/>
      <c r="F47" s="119" t="s">
        <v>132</v>
      </c>
    </row>
    <row r="48" spans="1:6" x14ac:dyDescent="0.25">
      <c r="A48" s="7"/>
      <c r="B48" s="9"/>
      <c r="C48" s="9"/>
      <c r="D48" s="9"/>
      <c r="E48" s="9"/>
      <c r="F48" s="15"/>
    </row>
    <row r="49" spans="1:6" ht="15.75" thickBot="1" x14ac:dyDescent="0.3">
      <c r="A49" s="7" t="s">
        <v>109</v>
      </c>
      <c r="B49" s="75">
        <v>300</v>
      </c>
      <c r="C49" s="9"/>
      <c r="D49" s="9"/>
      <c r="E49" s="92" t="s">
        <v>25</v>
      </c>
      <c r="F49" s="74">
        <f>calculos!B45</f>
        <v>53.655096504296246</v>
      </c>
    </row>
    <row r="50" spans="1:6" ht="15.75" thickBot="1" x14ac:dyDescent="0.3">
      <c r="A50" s="70" t="s">
        <v>114</v>
      </c>
      <c r="B50" s="88">
        <v>0.15</v>
      </c>
      <c r="C50" s="9"/>
      <c r="D50" s="9"/>
      <c r="E50" s="93" t="s">
        <v>76</v>
      </c>
      <c r="F50" s="76" t="str">
        <f>calculos!B46</f>
        <v>PE100 - 6 atm - Dn63</v>
      </c>
    </row>
    <row r="51" spans="1:6" x14ac:dyDescent="0.25">
      <c r="A51" s="70" t="s">
        <v>92</v>
      </c>
      <c r="B51" s="86">
        <v>1</v>
      </c>
      <c r="C51" s="9"/>
      <c r="D51" s="9"/>
      <c r="E51" s="92" t="s">
        <v>97</v>
      </c>
      <c r="F51" s="74">
        <f>calculos!B47</f>
        <v>55.4</v>
      </c>
    </row>
    <row r="52" spans="1:6" ht="15.75" thickBot="1" x14ac:dyDescent="0.3">
      <c r="A52" s="114" t="s">
        <v>117</v>
      </c>
      <c r="B52" s="111">
        <f>calculos!B7</f>
        <v>6300</v>
      </c>
      <c r="C52" s="9"/>
      <c r="D52" s="9"/>
      <c r="E52" s="115" t="s">
        <v>115</v>
      </c>
      <c r="F52" s="116">
        <f>calculos!B40</f>
        <v>20.538443316002923</v>
      </c>
    </row>
    <row r="53" spans="1:6" ht="15.75" thickBot="1" x14ac:dyDescent="0.3">
      <c r="A53" s="142" t="s">
        <v>133</v>
      </c>
      <c r="B53" s="122">
        <v>25</v>
      </c>
      <c r="C53" s="9"/>
      <c r="D53" s="9"/>
      <c r="E53" s="73" t="s">
        <v>100</v>
      </c>
      <c r="F53" s="117">
        <f>calculos!B44</f>
        <v>4.4615566839970775</v>
      </c>
    </row>
    <row r="54" spans="1:6" ht="15.75" thickBot="1" x14ac:dyDescent="0.3">
      <c r="A54" s="7"/>
      <c r="B54" s="9"/>
      <c r="C54" s="9"/>
      <c r="D54" s="9"/>
      <c r="E54" s="83" t="s">
        <v>116</v>
      </c>
      <c r="F54" s="66">
        <f>B53</f>
        <v>25</v>
      </c>
    </row>
    <row r="55" spans="1:6" x14ac:dyDescent="0.25">
      <c r="A55" s="7"/>
      <c r="B55" s="9"/>
      <c r="C55" s="9"/>
      <c r="D55" s="9"/>
      <c r="E55" s="9"/>
      <c r="F55" s="15"/>
    </row>
    <row r="56" spans="1:6" x14ac:dyDescent="0.25">
      <c r="A56" s="7"/>
      <c r="B56" s="9"/>
      <c r="C56" s="9"/>
      <c r="D56" s="9"/>
      <c r="E56" s="9"/>
      <c r="F56" s="15"/>
    </row>
    <row r="57" spans="1:6" ht="15.75" thickBot="1" x14ac:dyDescent="0.3">
      <c r="A57" s="11"/>
      <c r="B57" s="12"/>
      <c r="C57" s="12"/>
      <c r="D57" s="12"/>
      <c r="E57" s="12"/>
      <c r="F57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2</xdr:col>
                    <xdr:colOff>504825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1</xdr:col>
                    <xdr:colOff>0</xdr:colOff>
                    <xdr:row>13</xdr:row>
                    <xdr:rowOff>28575</xdr:rowOff>
                  </from>
                  <to>
                    <xdr:col>2</xdr:col>
                    <xdr:colOff>495300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8"/>
  <sheetViews>
    <sheetView showGridLines="0" topLeftCell="A28" workbookViewId="0">
      <selection activeCell="A50" sqref="A50"/>
    </sheetView>
  </sheetViews>
  <sheetFormatPr baseColWidth="10" defaultRowHeight="15" x14ac:dyDescent="0.25"/>
  <cols>
    <col min="1" max="1" width="25.7109375" customWidth="1"/>
    <col min="2" max="2" width="12.42578125" bestFit="1" customWidth="1"/>
    <col min="3" max="3" width="15.42578125" customWidth="1"/>
    <col min="4" max="4" width="20.140625" customWidth="1"/>
    <col min="5" max="5" width="20.5703125" customWidth="1"/>
    <col min="6" max="6" width="14.42578125" customWidth="1"/>
    <col min="7" max="9" width="13.140625" customWidth="1"/>
  </cols>
  <sheetData>
    <row r="1" spans="1:6" ht="15.75" thickBot="1" x14ac:dyDescent="0.3">
      <c r="A1" s="106" t="s">
        <v>108</v>
      </c>
      <c r="B1" s="63"/>
      <c r="C1" s="63"/>
      <c r="D1" s="63"/>
      <c r="E1" s="63"/>
      <c r="F1" s="14"/>
    </row>
    <row r="2" spans="1:6" x14ac:dyDescent="0.25">
      <c r="A2" s="6" t="s">
        <v>5</v>
      </c>
      <c r="B2" s="14">
        <v>1.75</v>
      </c>
      <c r="C2" s="9"/>
      <c r="D2" s="9"/>
      <c r="E2" s="94" t="s">
        <v>91</v>
      </c>
      <c r="F2" s="64">
        <f>'Datos y Resultado'!B11*10</f>
        <v>20</v>
      </c>
    </row>
    <row r="3" spans="1:6" x14ac:dyDescent="0.25">
      <c r="A3" s="7" t="s">
        <v>6</v>
      </c>
      <c r="B3" s="15">
        <v>1.8</v>
      </c>
      <c r="C3" s="9"/>
      <c r="D3" s="9"/>
      <c r="E3" s="9" t="s">
        <v>23</v>
      </c>
      <c r="F3" s="95">
        <f>'Datos y Resultado'!B17</f>
        <v>0.2</v>
      </c>
    </row>
    <row r="4" spans="1:6" x14ac:dyDescent="0.25">
      <c r="A4" s="7" t="s">
        <v>7</v>
      </c>
      <c r="B4" s="57">
        <v>1</v>
      </c>
      <c r="C4" s="9"/>
      <c r="D4" s="9"/>
      <c r="E4" s="94" t="s">
        <v>81</v>
      </c>
      <c r="F4" s="96">
        <f>F2+(F2*F3)</f>
        <v>24</v>
      </c>
    </row>
    <row r="5" spans="1:6" x14ac:dyDescent="0.25">
      <c r="A5" s="7" t="s">
        <v>9</v>
      </c>
      <c r="B5" s="56">
        <f>'Datos y Resultado'!B4</f>
        <v>9</v>
      </c>
      <c r="C5" s="9"/>
      <c r="D5" s="9"/>
      <c r="E5" s="9" t="s">
        <v>24</v>
      </c>
      <c r="F5" s="95">
        <f>'Datos y Resultado'!B18</f>
        <v>0.15</v>
      </c>
    </row>
    <row r="6" spans="1:6" x14ac:dyDescent="0.25">
      <c r="A6" s="7" t="s">
        <v>10</v>
      </c>
      <c r="B6" s="15">
        <f>B5/2</f>
        <v>4.5</v>
      </c>
      <c r="C6" s="9"/>
      <c r="D6" s="9"/>
      <c r="E6" s="72" t="s">
        <v>89</v>
      </c>
      <c r="F6" s="97">
        <f>IF(B15=0,Fcris(B2,B5),Fcriss(B2,B5))</f>
        <v>0.38691350355350146</v>
      </c>
    </row>
    <row r="7" spans="1:6" x14ac:dyDescent="0.25">
      <c r="A7" s="7" t="s">
        <v>11</v>
      </c>
      <c r="B7" s="10">
        <f>'Datos y Resultado'!B10*B5</f>
        <v>6300</v>
      </c>
      <c r="C7" s="98">
        <f>B7/1000/3600</f>
        <v>1.75E-3</v>
      </c>
      <c r="D7" s="9"/>
      <c r="E7" s="72" t="s">
        <v>90</v>
      </c>
      <c r="F7" s="97">
        <f>IF(B15=0,Fcris(B3,B5),Fcriss(B3,B5))</f>
        <v>0.38009990362184859</v>
      </c>
    </row>
    <row r="8" spans="1:6" ht="15.75" thickBot="1" x14ac:dyDescent="0.3">
      <c r="A8" s="7" t="s">
        <v>12</v>
      </c>
      <c r="B8" s="10">
        <f>B7/2</f>
        <v>3150</v>
      </c>
      <c r="C8" s="98">
        <f>B8/1000/3600</f>
        <v>8.7500000000000002E-4</v>
      </c>
      <c r="D8" s="9">
        <v>1</v>
      </c>
      <c r="E8" s="4" t="s">
        <v>79</v>
      </c>
      <c r="F8" s="107">
        <f>Blasius(D13,D18,D12)*(1+F5)*F6</f>
        <v>0.53844331600292417</v>
      </c>
    </row>
    <row r="9" spans="1:6" ht="15.75" x14ac:dyDescent="0.25">
      <c r="A9" s="6" t="s">
        <v>2</v>
      </c>
      <c r="B9" s="16">
        <v>1</v>
      </c>
      <c r="C9" s="17" t="s">
        <v>94</v>
      </c>
      <c r="D9" s="9">
        <v>2</v>
      </c>
      <c r="E9" s="4" t="s">
        <v>78</v>
      </c>
      <c r="F9" s="107">
        <f>Varonese(D13,D18,D12)*(1+F5)*F7</f>
        <v>0.50696977505721008</v>
      </c>
    </row>
    <row r="10" spans="1:6" ht="16.5" thickBot="1" x14ac:dyDescent="0.3">
      <c r="A10" s="11" t="s">
        <v>21</v>
      </c>
      <c r="B10" s="12"/>
      <c r="C10" s="18" t="s">
        <v>95</v>
      </c>
      <c r="D10" s="9"/>
      <c r="E10" s="62" t="s">
        <v>101</v>
      </c>
      <c r="F10" s="108">
        <f>IF(B4=1,F8,F9)</f>
        <v>0.53844331600292417</v>
      </c>
    </row>
    <row r="11" spans="1:6" x14ac:dyDescent="0.25">
      <c r="A11" s="7"/>
      <c r="B11" s="9"/>
      <c r="C11" s="9"/>
      <c r="D11" s="9"/>
      <c r="E11" s="53" t="s">
        <v>80</v>
      </c>
      <c r="F11" s="109">
        <f>F2+F8</f>
        <v>20.538443316002923</v>
      </c>
    </row>
    <row r="12" spans="1:6" x14ac:dyDescent="0.25">
      <c r="A12" s="99" t="s">
        <v>16</v>
      </c>
      <c r="B12" s="8">
        <f>'Datos y Resultado'!B4</f>
        <v>9</v>
      </c>
      <c r="C12" s="46" t="s">
        <v>15</v>
      </c>
      <c r="D12" s="47">
        <f>IF(B9=1,(B12*B13-B14)/2,B12*B13+B14)</f>
        <v>42.5</v>
      </c>
      <c r="E12" s="53" t="s">
        <v>80</v>
      </c>
      <c r="F12" s="109">
        <f>F2+F9</f>
        <v>20.506969775057211</v>
      </c>
    </row>
    <row r="13" spans="1:6" x14ac:dyDescent="0.25">
      <c r="A13" s="99" t="s">
        <v>17</v>
      </c>
      <c r="B13" s="8">
        <f>'Datos y Resultado'!B5</f>
        <v>10</v>
      </c>
      <c r="C13" s="49" t="s">
        <v>20</v>
      </c>
      <c r="D13" s="50">
        <f>IF(B9=1,C7/2,C7)</f>
        <v>8.7500000000000002E-4</v>
      </c>
      <c r="E13" s="61" t="s">
        <v>101</v>
      </c>
      <c r="F13" s="65">
        <f>IF(B4=1,F11,F12)</f>
        <v>20.538443316002923</v>
      </c>
    </row>
    <row r="14" spans="1:6" x14ac:dyDescent="0.25">
      <c r="A14" s="99" t="s">
        <v>18</v>
      </c>
      <c r="B14" s="8">
        <f>'Datos y Resultado'!B6</f>
        <v>5</v>
      </c>
      <c r="C14" s="48" t="s">
        <v>26</v>
      </c>
      <c r="D14" s="100">
        <f>'Datos y Resultado'!B16</f>
        <v>1</v>
      </c>
      <c r="E14" s="9"/>
      <c r="F14" s="15"/>
    </row>
    <row r="15" spans="1:6" ht="15.75" thickBot="1" x14ac:dyDescent="0.3">
      <c r="A15" s="101" t="s">
        <v>88</v>
      </c>
      <c r="B15" s="102">
        <f>B13-B14</f>
        <v>5</v>
      </c>
      <c r="C15" s="9" t="s">
        <v>25</v>
      </c>
      <c r="D15" s="21">
        <f>(2*((D13/(D14*3.1415))^(1/2)))*1000</f>
        <v>33.378398101349795</v>
      </c>
      <c r="E15" s="9"/>
      <c r="F15" s="15"/>
    </row>
    <row r="16" spans="1:6" ht="15.75" thickBot="1" x14ac:dyDescent="0.3">
      <c r="A16" s="101" t="s">
        <v>75</v>
      </c>
      <c r="B16" s="103">
        <v>10</v>
      </c>
      <c r="C16" s="58" t="s">
        <v>76</v>
      </c>
      <c r="D16" s="59" t="str">
        <f>HLOOKUP($B$16,PE!$B$2:$Y$6,3,0)</f>
        <v>PE100 - 6 atm - Dn40</v>
      </c>
      <c r="E16" s="9"/>
      <c r="F16" s="104" t="str">
        <f>IF(F11&lt;F4,"Correcto","No cumple")</f>
        <v>Correcto</v>
      </c>
    </row>
    <row r="17" spans="1:6" x14ac:dyDescent="0.25">
      <c r="A17" s="7"/>
      <c r="B17" s="9"/>
      <c r="C17" s="51" t="s">
        <v>77</v>
      </c>
      <c r="D17" s="52">
        <f>HLOOKUP($B$16,PE!$B$2:$Y$6,4,0)</f>
        <v>35.200000000000003</v>
      </c>
      <c r="E17" s="9"/>
      <c r="F17" s="15"/>
    </row>
    <row r="18" spans="1:6" x14ac:dyDescent="0.25">
      <c r="A18" s="7"/>
      <c r="B18" s="9"/>
      <c r="C18" s="9"/>
      <c r="D18" s="105">
        <f>D17/1000</f>
        <v>3.5200000000000002E-2</v>
      </c>
      <c r="E18" s="9"/>
      <c r="F18" s="15"/>
    </row>
    <row r="19" spans="1:6" x14ac:dyDescent="0.25">
      <c r="A19" s="7"/>
      <c r="B19" s="9"/>
      <c r="C19" s="9"/>
      <c r="D19" s="9"/>
      <c r="E19" s="9"/>
      <c r="F19" s="15"/>
    </row>
    <row r="20" spans="1:6" ht="15.75" thickBot="1" x14ac:dyDescent="0.3">
      <c r="A20" s="11"/>
      <c r="B20" s="12"/>
      <c r="C20" s="12"/>
      <c r="D20" s="12"/>
      <c r="E20" s="12"/>
      <c r="F20" s="13"/>
    </row>
    <row r="21" spans="1:6" x14ac:dyDescent="0.25">
      <c r="A21" s="106" t="s">
        <v>118</v>
      </c>
      <c r="B21" s="63"/>
      <c r="C21" s="63"/>
      <c r="D21" s="63"/>
      <c r="E21" s="130" t="s">
        <v>127</v>
      </c>
      <c r="F21" s="14"/>
    </row>
    <row r="22" spans="1:6" x14ac:dyDescent="0.25">
      <c r="A22" s="7" t="s">
        <v>109</v>
      </c>
      <c r="B22" s="8">
        <f>'Datos y Resultado'!$B$23</f>
        <v>300</v>
      </c>
      <c r="C22" s="9"/>
      <c r="D22" s="9"/>
      <c r="E22" s="131" t="s">
        <v>120</v>
      </c>
      <c r="F22" s="15">
        <f>'Datos y Resultado'!B35</f>
        <v>0</v>
      </c>
    </row>
    <row r="23" spans="1:6" x14ac:dyDescent="0.25">
      <c r="A23" s="7" t="s">
        <v>110</v>
      </c>
      <c r="B23" s="132">
        <f>$F$13</f>
        <v>20.538443316002923</v>
      </c>
      <c r="C23" s="9"/>
      <c r="D23" s="9"/>
      <c r="E23" s="131" t="s">
        <v>121</v>
      </c>
      <c r="F23" s="15">
        <f>'Datos y Resultado'!B36</f>
        <v>0</v>
      </c>
    </row>
    <row r="24" spans="1:6" x14ac:dyDescent="0.25">
      <c r="A24" s="7" t="s">
        <v>111</v>
      </c>
      <c r="B24" s="98">
        <f>$C$7</f>
        <v>1.75E-3</v>
      </c>
      <c r="C24" s="9"/>
      <c r="D24" s="9"/>
      <c r="E24" s="131" t="s">
        <v>122</v>
      </c>
      <c r="F24" s="116">
        <f>B36</f>
        <v>24.370811174672053</v>
      </c>
    </row>
    <row r="25" spans="1:6" x14ac:dyDescent="0.25">
      <c r="A25" s="133" t="s">
        <v>26</v>
      </c>
      <c r="B25" s="100">
        <f>'Datos y Resultado'!B25</f>
        <v>1</v>
      </c>
      <c r="C25" s="9"/>
      <c r="D25" s="9"/>
      <c r="E25" s="131" t="s">
        <v>126</v>
      </c>
      <c r="F25" s="134">
        <f>'Datos y Resultado'!B38</f>
        <v>0.2</v>
      </c>
    </row>
    <row r="26" spans="1:6" ht="15.75" thickBot="1" x14ac:dyDescent="0.3">
      <c r="A26" s="7" t="s">
        <v>25</v>
      </c>
      <c r="B26" s="144">
        <f>(2*((B24/(B25*3.1415))^(1/2)))*1000</f>
        <v>47.20418328521724</v>
      </c>
      <c r="C26" s="9"/>
      <c r="D26" s="9"/>
      <c r="E26" s="131" t="s">
        <v>123</v>
      </c>
      <c r="F26" s="116">
        <f>F24*F25</f>
        <v>4.8741622349344107</v>
      </c>
    </row>
    <row r="27" spans="1:6" ht="15.75" thickBot="1" x14ac:dyDescent="0.3">
      <c r="A27" s="58" t="s">
        <v>76</v>
      </c>
      <c r="B27" s="59" t="str">
        <f>HLOOKUP($B$16,'PE principal'!B2:Y6,3,0)</f>
        <v>PE100 - 6 atm - Dn63</v>
      </c>
      <c r="C27" s="9"/>
      <c r="D27" s="9"/>
      <c r="E27" s="131" t="s">
        <v>124</v>
      </c>
      <c r="F27" s="116">
        <f>F24+F26+(F23-F22)</f>
        <v>29.244973409606462</v>
      </c>
    </row>
    <row r="28" spans="1:6" x14ac:dyDescent="0.25">
      <c r="A28" s="135" t="s">
        <v>77</v>
      </c>
      <c r="B28" s="52">
        <f>HLOOKUP($B$16,'PE principal'!B2:Y6,4,0)</f>
        <v>55.4</v>
      </c>
      <c r="C28" s="9"/>
      <c r="D28" s="9"/>
      <c r="E28" s="131" t="s">
        <v>125</v>
      </c>
      <c r="F28" s="136">
        <f>B24</f>
        <v>1.75E-3</v>
      </c>
    </row>
    <row r="29" spans="1:6" x14ac:dyDescent="0.25">
      <c r="A29" s="7"/>
      <c r="B29" s="105">
        <f>B28/1000</f>
        <v>5.5399999999999998E-2</v>
      </c>
      <c r="C29" s="9"/>
      <c r="D29" s="9"/>
      <c r="E29" s="131" t="s">
        <v>129</v>
      </c>
      <c r="F29" s="134">
        <f>'Datos y Resultado'!B42</f>
        <v>0.75</v>
      </c>
    </row>
    <row r="30" spans="1:6" x14ac:dyDescent="0.25">
      <c r="A30" s="7" t="s">
        <v>114</v>
      </c>
      <c r="B30" s="128">
        <f>'Datos y Resultado'!B24</f>
        <v>0.15</v>
      </c>
      <c r="C30" s="9"/>
      <c r="D30" s="9"/>
      <c r="E30" s="131" t="s">
        <v>128</v>
      </c>
      <c r="F30" s="146">
        <f>Potenciab(F28,F27,F29)</f>
        <v>0.90984361718775653</v>
      </c>
    </row>
    <row r="31" spans="1:6" x14ac:dyDescent="0.25">
      <c r="A31" s="7" t="s">
        <v>112</v>
      </c>
      <c r="B31" s="126">
        <f>Blasius(B24,B29,B22)*(1+B30)</f>
        <v>3.8323678586691288</v>
      </c>
      <c r="C31" s="9"/>
      <c r="D31" s="9"/>
      <c r="E31" s="131" t="s">
        <v>130</v>
      </c>
      <c r="F31" s="137">
        <f>F30*0.73539875</f>
        <v>0.66909785877535466</v>
      </c>
    </row>
    <row r="32" spans="1:6" x14ac:dyDescent="0.25">
      <c r="A32" s="7" t="s">
        <v>113</v>
      </c>
      <c r="B32" s="126">
        <f>Varonese(B24,B29,B22)*(1+B30)</f>
        <v>3.7173079402221703</v>
      </c>
      <c r="C32" s="9"/>
      <c r="D32" s="9"/>
      <c r="E32" s="9"/>
      <c r="F32" s="15"/>
    </row>
    <row r="33" spans="1:6" x14ac:dyDescent="0.25">
      <c r="A33" s="138" t="s">
        <v>101</v>
      </c>
      <c r="B33" s="108">
        <f>IF(B4=1,B31,B32)</f>
        <v>3.8323678586691288</v>
      </c>
      <c r="C33" s="9"/>
      <c r="D33" s="9"/>
      <c r="E33" s="9"/>
      <c r="F33" s="15"/>
    </row>
    <row r="34" spans="1:6" x14ac:dyDescent="0.25">
      <c r="A34" s="139" t="s">
        <v>80</v>
      </c>
      <c r="B34" s="109">
        <f>B23+B31</f>
        <v>24.370811174672053</v>
      </c>
      <c r="C34" s="9"/>
      <c r="D34" s="9"/>
      <c r="E34" s="9"/>
      <c r="F34" s="15"/>
    </row>
    <row r="35" spans="1:6" x14ac:dyDescent="0.25">
      <c r="A35" s="139" t="s">
        <v>80</v>
      </c>
      <c r="B35" s="109">
        <f>B23+B32</f>
        <v>24.255751256225093</v>
      </c>
      <c r="C35" s="9"/>
      <c r="D35" s="9"/>
      <c r="E35" s="9"/>
      <c r="F35" s="15"/>
    </row>
    <row r="36" spans="1:6" x14ac:dyDescent="0.25">
      <c r="A36" s="140" t="s">
        <v>101</v>
      </c>
      <c r="B36" s="65">
        <f>IF(B4=1,B34,B35)</f>
        <v>24.370811174672053</v>
      </c>
      <c r="C36" s="9"/>
      <c r="D36" s="9"/>
      <c r="E36" s="9"/>
      <c r="F36" s="15"/>
    </row>
    <row r="37" spans="1:6" ht="15.75" thickBot="1" x14ac:dyDescent="0.3">
      <c r="A37" s="11"/>
      <c r="B37" s="12"/>
      <c r="C37" s="12"/>
      <c r="D37" s="12"/>
      <c r="E37" s="12"/>
      <c r="F37" s="13"/>
    </row>
    <row r="38" spans="1:6" x14ac:dyDescent="0.25">
      <c r="A38" s="106" t="s">
        <v>134</v>
      </c>
    </row>
    <row r="39" spans="1:6" x14ac:dyDescent="0.25">
      <c r="A39" s="7" t="s">
        <v>109</v>
      </c>
      <c r="B39" s="8">
        <f>'Datos y Resultado'!$B$23</f>
        <v>300</v>
      </c>
    </row>
    <row r="40" spans="1:6" x14ac:dyDescent="0.25">
      <c r="A40" s="7" t="s">
        <v>110</v>
      </c>
      <c r="B40" s="126">
        <f>$F$13</f>
        <v>20.538443316002923</v>
      </c>
    </row>
    <row r="41" spans="1:6" x14ac:dyDescent="0.25">
      <c r="A41" s="7" t="s">
        <v>111</v>
      </c>
      <c r="B41" s="98">
        <f>$C$7</f>
        <v>1.75E-3</v>
      </c>
    </row>
    <row r="42" spans="1:6" x14ac:dyDescent="0.25">
      <c r="A42" s="141" t="s">
        <v>133</v>
      </c>
      <c r="B42" s="126">
        <f>'Datos y Resultado'!B53</f>
        <v>25</v>
      </c>
    </row>
    <row r="43" spans="1:6" x14ac:dyDescent="0.25">
      <c r="A43" s="7" t="s">
        <v>114</v>
      </c>
      <c r="B43" s="20">
        <f>'Datos y Resultado'!B50</f>
        <v>0.15</v>
      </c>
    </row>
    <row r="44" spans="1:6" x14ac:dyDescent="0.25">
      <c r="A44" s="141" t="s">
        <v>136</v>
      </c>
      <c r="B44" s="126">
        <f>B42-B40</f>
        <v>4.4615566839970775</v>
      </c>
    </row>
    <row r="45" spans="1:6" ht="15.75" thickBot="1" x14ac:dyDescent="0.3">
      <c r="A45" s="141" t="s">
        <v>135</v>
      </c>
      <c r="B45" s="144">
        <f>Di(B44,B41,B39,B43)*1000</f>
        <v>53.655096504296246</v>
      </c>
    </row>
    <row r="46" spans="1:6" ht="15.75" thickBot="1" x14ac:dyDescent="0.3">
      <c r="A46" s="58" t="s">
        <v>76</v>
      </c>
      <c r="B46" s="59" t="str">
        <f>HLOOKUP($B$16,'PE principal2'!B2:Y6,3,0)</f>
        <v>PE100 - 6 atm - Dn63</v>
      </c>
    </row>
    <row r="47" spans="1:6" x14ac:dyDescent="0.25">
      <c r="A47" s="135" t="s">
        <v>77</v>
      </c>
      <c r="B47" s="145">
        <f>HLOOKUP($B$16,'PE principal2'!B2:Y6,4,0)</f>
        <v>55.4</v>
      </c>
    </row>
    <row r="48" spans="1:6" x14ac:dyDescent="0.25">
      <c r="A48" s="7"/>
      <c r="B48" s="105">
        <f>B47/1000</f>
        <v>5.5399999999999998E-2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Y52"/>
  <sheetViews>
    <sheetView showGridLines="0" workbookViewId="0">
      <selection activeCell="T11" sqref="T11:T16"/>
    </sheetView>
  </sheetViews>
  <sheetFormatPr baseColWidth="10" defaultRowHeight="12.75" x14ac:dyDescent="0.2"/>
  <cols>
    <col min="1" max="1" width="11.42578125" style="31"/>
    <col min="2" max="25" width="8.28515625" style="31" customWidth="1"/>
    <col min="26" max="16384" width="11.42578125" style="31"/>
  </cols>
  <sheetData>
    <row r="1" spans="1:25" x14ac:dyDescent="0.2">
      <c r="A1" s="31" t="s">
        <v>75</v>
      </c>
      <c r="C1" s="40">
        <f>calculos!$D$15</f>
        <v>33.378398101349795</v>
      </c>
      <c r="E1" s="40">
        <f>calculos!$D$15</f>
        <v>33.378398101349795</v>
      </c>
      <c r="G1" s="40">
        <f>calculos!$D$15</f>
        <v>33.378398101349795</v>
      </c>
      <c r="I1" s="40">
        <f>calculos!$D$15</f>
        <v>33.378398101349795</v>
      </c>
      <c r="K1" s="40">
        <f>calculos!$D$15</f>
        <v>33.378398101349795</v>
      </c>
      <c r="M1" s="40">
        <f>calculos!$D$15</f>
        <v>33.378398101349795</v>
      </c>
      <c r="O1" s="40">
        <f>calculos!$D$15</f>
        <v>33.378398101349795</v>
      </c>
      <c r="Q1" s="40">
        <f>calculos!$D$15</f>
        <v>33.378398101349795</v>
      </c>
      <c r="S1" s="40">
        <f>calculos!$D$15</f>
        <v>33.378398101349795</v>
      </c>
      <c r="U1" s="40">
        <f>calculos!$D$15</f>
        <v>33.378398101349795</v>
      </c>
      <c r="W1" s="40">
        <f>calculos!$D$15</f>
        <v>33.378398101349795</v>
      </c>
      <c r="Y1" s="40">
        <f>calculos!$D$15</f>
        <v>33.378398101349795</v>
      </c>
    </row>
    <row r="2" spans="1:25" x14ac:dyDescent="0.2">
      <c r="A2" s="39">
        <f>calculos!B16</f>
        <v>10</v>
      </c>
      <c r="B2" s="41">
        <v>9</v>
      </c>
      <c r="D2" s="41">
        <v>10</v>
      </c>
      <c r="F2" s="41">
        <v>11</v>
      </c>
      <c r="H2" s="41">
        <v>12</v>
      </c>
      <c r="J2" s="41">
        <v>6</v>
      </c>
      <c r="L2" s="41">
        <v>7</v>
      </c>
      <c r="N2" s="41">
        <v>8</v>
      </c>
      <c r="P2" s="41">
        <v>1</v>
      </c>
      <c r="R2" s="41">
        <v>2</v>
      </c>
      <c r="T2" s="41">
        <v>3</v>
      </c>
      <c r="V2" s="41">
        <v>4</v>
      </c>
      <c r="X2" s="41">
        <v>5</v>
      </c>
    </row>
    <row r="3" spans="1:25" x14ac:dyDescent="0.2">
      <c r="A3" s="39"/>
      <c r="B3" s="45"/>
      <c r="C3" s="43">
        <v>2</v>
      </c>
      <c r="D3" s="45"/>
      <c r="E3" s="43">
        <v>4</v>
      </c>
      <c r="F3" s="45"/>
      <c r="G3" s="41">
        <v>6</v>
      </c>
      <c r="H3" s="45"/>
      <c r="I3" s="41">
        <v>8</v>
      </c>
      <c r="J3" s="45"/>
      <c r="K3" s="41">
        <v>10</v>
      </c>
      <c r="L3" s="45"/>
      <c r="M3" s="41">
        <v>12</v>
      </c>
      <c r="N3" s="45"/>
      <c r="O3" s="41">
        <v>14</v>
      </c>
      <c r="P3" s="45"/>
      <c r="Q3" s="41">
        <v>16</v>
      </c>
      <c r="R3" s="45"/>
      <c r="S3" s="41">
        <v>18</v>
      </c>
      <c r="T3" s="45"/>
      <c r="U3" s="41">
        <v>20</v>
      </c>
      <c r="V3" s="45"/>
      <c r="W3" s="41">
        <v>22</v>
      </c>
      <c r="X3" s="45"/>
      <c r="Y3" s="41">
        <v>24</v>
      </c>
    </row>
    <row r="4" spans="1:25" ht="15" x14ac:dyDescent="0.25">
      <c r="B4" s="31" t="str">
        <f>CONCATENATE(B6,$E$41,B7,$E$41,"Dn",C7)</f>
        <v>PE100 - 4 atm - Dn40</v>
      </c>
      <c r="C4"/>
      <c r="D4" s="31" t="str">
        <f>CONCATENATE(D6,$E$41,D7,$E$41,"Dn",E7)</f>
        <v>PE100 - 6 atm - Dn40</v>
      </c>
      <c r="F4" s="31" t="str">
        <f>CONCATENATE(F6,$E$41,F7,$E$41,"Dn",G7)</f>
        <v>PE100 - 10 atm - Dn50</v>
      </c>
      <c r="H4" s="31" t="str">
        <f>CONCATENATE(H6,$E$41,H7,$E$41,"Dn",I7)</f>
        <v>PE100 - 16 atm - Dn50</v>
      </c>
      <c r="J4" s="31" t="str">
        <f>CONCATENATE(J6,$E$41,J7,$E$41,"Dn",K7)</f>
        <v>PE50 - 6 atm - Dn40</v>
      </c>
      <c r="L4" s="31" t="str">
        <f>CONCATENATE(L6,$E$41,L7,$E$41,"Dn",M7)</f>
        <v>PE50 - 10 atm - Dn50</v>
      </c>
      <c r="N4" s="31" t="str">
        <f>CONCATENATE(N6,$E$41,N7,$E$41,"Dn",O7)</f>
        <v>PE50 - 16 atm - Dn50</v>
      </c>
      <c r="P4" s="31" t="str">
        <f>CONCATENATE(P6,$E$41,P7,$E$41,"Dn",Q7)</f>
        <v>PE32 - 2,5 atm - Dn0</v>
      </c>
      <c r="R4" s="31" t="str">
        <f>CONCATENATE(R6,$E$41,R7,$E$41,"Dn",S7)</f>
        <v>PE32 - 4 atm - Dn40</v>
      </c>
      <c r="T4" s="31" t="str">
        <f>CONCATENATE(T6,$E$41,T7,$E$41,"Dn",U7)</f>
        <v>PE32 - 6 atm - Dn50</v>
      </c>
      <c r="V4" s="31" t="str">
        <f>CONCATENATE(V6,$E$41,V7,$E$41,"Dn",W7)</f>
        <v>PE32 - 10 atm - Dn50</v>
      </c>
      <c r="X4" s="31" t="str">
        <f>CONCATENATE(X6,$E$41,X7,$E$41,"Dn",Y7)</f>
        <v>PE32 - 16 atm - Dn63</v>
      </c>
    </row>
    <row r="5" spans="1:25" ht="15" x14ac:dyDescent="0.25">
      <c r="B5" s="44">
        <f>VLOOKUP(C7,$A$8:$Y$37,C3,0)</f>
        <v>36</v>
      </c>
      <c r="C5"/>
      <c r="D5" s="44">
        <f>VLOOKUP(E7,$A$8:$Y$37,E3,0)</f>
        <v>35.200000000000003</v>
      </c>
      <c r="F5" s="44">
        <f>VLOOKUP(G7,$A$8:$Y$37,G3,0)</f>
        <v>40.799999999999997</v>
      </c>
      <c r="H5" s="44">
        <f>VLOOKUP(I7,$A$8:$Y$37,I3,0)</f>
        <v>36.200000000000003</v>
      </c>
      <c r="J5" s="44">
        <f>VLOOKUP(K7,$A$8:$Y$37,K3,0)</f>
        <v>35.200000000000003</v>
      </c>
      <c r="L5" s="44">
        <f>VLOOKUP(M7,$A$8:$Y$37,M3,0)</f>
        <v>40.799999999999997</v>
      </c>
      <c r="N5" s="44">
        <f>VLOOKUP(O7,$A$8:$Y$37,O3,0)</f>
        <v>36.200000000000003</v>
      </c>
      <c r="P5" s="44" t="e">
        <f>VLOOKUP(Q7,$A$8:$Y$37,Q3,0)</f>
        <v>#N/A</v>
      </c>
      <c r="R5" s="44">
        <f>VLOOKUP(S7,$A$8:$Y$37,S3,0)</f>
        <v>35.200000000000003</v>
      </c>
      <c r="T5" s="44">
        <f>VLOOKUP(U7,$A$8:$Y$37,U3,0)</f>
        <v>40.799999999999997</v>
      </c>
      <c r="V5" s="44">
        <f>VLOOKUP(W7,$A$8:$Y$37,W3,0)</f>
        <v>36.200000000000003</v>
      </c>
      <c r="X5" s="44">
        <f>VLOOKUP(Y7,$A$8:$Y$37,Y3,0)</f>
        <v>37.799999999999997</v>
      </c>
    </row>
    <row r="6" spans="1:25" x14ac:dyDescent="0.2">
      <c r="B6" s="38" t="s">
        <v>69</v>
      </c>
      <c r="D6" s="38" t="s">
        <v>69</v>
      </c>
      <c r="F6" s="38" t="s">
        <v>69</v>
      </c>
      <c r="H6" s="38" t="s">
        <v>69</v>
      </c>
      <c r="J6" s="38" t="s">
        <v>70</v>
      </c>
      <c r="L6" s="38" t="s">
        <v>70</v>
      </c>
      <c r="N6" s="38" t="s">
        <v>70</v>
      </c>
      <c r="P6" s="38" t="s">
        <v>71</v>
      </c>
      <c r="R6" s="38" t="s">
        <v>71</v>
      </c>
      <c r="T6" s="38" t="s">
        <v>71</v>
      </c>
      <c r="V6" s="38" t="s">
        <v>71</v>
      </c>
      <c r="X6" s="38" t="s">
        <v>71</v>
      </c>
    </row>
    <row r="7" spans="1:25" ht="15" x14ac:dyDescent="0.2">
      <c r="A7" s="36" t="s">
        <v>29</v>
      </c>
      <c r="B7" s="35" t="s">
        <v>64</v>
      </c>
      <c r="C7" s="35">
        <f>C38</f>
        <v>40</v>
      </c>
      <c r="D7" s="35" t="s">
        <v>65</v>
      </c>
      <c r="E7" s="35">
        <f>E38</f>
        <v>40</v>
      </c>
      <c r="F7" s="35" t="s">
        <v>66</v>
      </c>
      <c r="G7" s="35">
        <f>G38</f>
        <v>50</v>
      </c>
      <c r="H7" s="35" t="s">
        <v>67</v>
      </c>
      <c r="I7" s="35">
        <f>I38</f>
        <v>50</v>
      </c>
      <c r="J7" s="35" t="s">
        <v>65</v>
      </c>
      <c r="K7" s="35">
        <f>K38</f>
        <v>40</v>
      </c>
      <c r="L7" s="35" t="s">
        <v>66</v>
      </c>
      <c r="M7" s="35">
        <f>M38</f>
        <v>50</v>
      </c>
      <c r="N7" s="35" t="s">
        <v>67</v>
      </c>
      <c r="O7" s="35">
        <f>O38</f>
        <v>50</v>
      </c>
      <c r="P7" s="35" t="s">
        <v>68</v>
      </c>
      <c r="Q7" s="35">
        <f>Q38</f>
        <v>0</v>
      </c>
      <c r="R7" s="35" t="s">
        <v>64</v>
      </c>
      <c r="S7" s="35">
        <f>S38</f>
        <v>40</v>
      </c>
      <c r="T7" s="35" t="s">
        <v>65</v>
      </c>
      <c r="U7" s="35">
        <f>U38</f>
        <v>50</v>
      </c>
      <c r="V7" s="35" t="s">
        <v>66</v>
      </c>
      <c r="W7" s="35">
        <f>W38</f>
        <v>50</v>
      </c>
      <c r="X7" s="35" t="s">
        <v>67</v>
      </c>
      <c r="Y7" s="35">
        <f>Y38</f>
        <v>63</v>
      </c>
    </row>
    <row r="8" spans="1:25" ht="15" x14ac:dyDescent="0.25">
      <c r="A8" s="37">
        <v>16</v>
      </c>
      <c r="B8" s="33">
        <v>14</v>
      </c>
      <c r="C8">
        <f>IF(AND($C$1&gt;B8,$C$1&lt;B9),$B9,0)</f>
        <v>0</v>
      </c>
      <c r="D8" s="33">
        <v>13.6</v>
      </c>
      <c r="E8">
        <f>IF(AND($C$1&gt;D8,$C$1&lt;D9),$A9,0)</f>
        <v>0</v>
      </c>
      <c r="F8" s="33">
        <v>12</v>
      </c>
      <c r="G8">
        <f>IF(AND($C$1&gt;F8,$C$1&lt;F9),$A9,0)</f>
        <v>0</v>
      </c>
      <c r="H8" s="33">
        <v>11.6</v>
      </c>
      <c r="I8">
        <f>IF(AND($C$1&gt;H8,$C$1&lt;H9),$A9,0)</f>
        <v>0</v>
      </c>
      <c r="J8" s="34"/>
      <c r="K8">
        <f>IF(AND($C$1&gt;J8,$C$1&lt;J9),$A9,0)</f>
        <v>0</v>
      </c>
      <c r="L8" s="34"/>
      <c r="M8">
        <f>IF(AND($C$1&gt;L8,$C$1&lt;L9),$A9,0)</f>
        <v>0</v>
      </c>
      <c r="N8" s="34"/>
      <c r="O8">
        <f>IF(AND($C$1&gt;N8,$C$1&lt;N9),$A9,0)</f>
        <v>0</v>
      </c>
      <c r="P8" s="33">
        <v>13.6</v>
      </c>
      <c r="Q8">
        <f>IF(AND($C$1&gt;P8,$C$1&lt;P9),$A9,0)</f>
        <v>0</v>
      </c>
      <c r="R8" s="33">
        <v>12.8</v>
      </c>
      <c r="S8">
        <f>IF(AND($C$1&gt;R8,$C$1&lt;R9),$A9,0)</f>
        <v>0</v>
      </c>
      <c r="T8" s="33">
        <v>12</v>
      </c>
      <c r="U8">
        <f>IF(AND($C$1&gt;T8,$C$1&lt;T9),$A9,0)</f>
        <v>0</v>
      </c>
      <c r="V8" s="33">
        <v>11.6</v>
      </c>
      <c r="W8">
        <f>IF(AND($C$1&gt;V8,$C$1&lt;V9),$A9,0)</f>
        <v>0</v>
      </c>
      <c r="X8" s="33">
        <v>9.6</v>
      </c>
      <c r="Y8">
        <f>IF(AND($C$1&gt;X8,$C$1&lt;X9),$A9,0)</f>
        <v>0</v>
      </c>
    </row>
    <row r="9" spans="1:25" ht="15" x14ac:dyDescent="0.25">
      <c r="A9" s="37">
        <v>20</v>
      </c>
      <c r="B9" s="33">
        <v>17.8</v>
      </c>
      <c r="C9">
        <f t="shared" ref="C9:C37" si="0">IF(AND($C$1&gt;B9,$C$1&lt;B10),$A10,0)</f>
        <v>0</v>
      </c>
      <c r="D9" s="33">
        <v>17.2</v>
      </c>
      <c r="E9">
        <f t="shared" ref="E9:U37" si="1">IF(AND($C$1&gt;D9,$C$1&lt;D10),$A10,0)</f>
        <v>0</v>
      </c>
      <c r="F9" s="33">
        <v>16</v>
      </c>
      <c r="G9">
        <f t="shared" si="1"/>
        <v>0</v>
      </c>
      <c r="H9" s="33">
        <v>14.4</v>
      </c>
      <c r="I9">
        <f t="shared" si="1"/>
        <v>0</v>
      </c>
      <c r="J9" s="34"/>
      <c r="K9">
        <f t="shared" si="1"/>
        <v>0</v>
      </c>
      <c r="L9" s="33">
        <v>16</v>
      </c>
      <c r="M9">
        <f t="shared" si="1"/>
        <v>0</v>
      </c>
      <c r="N9" s="33">
        <v>14.4</v>
      </c>
      <c r="O9">
        <f t="shared" si="1"/>
        <v>0</v>
      </c>
      <c r="P9" s="33">
        <v>17.2</v>
      </c>
      <c r="Q9">
        <f t="shared" si="1"/>
        <v>0</v>
      </c>
      <c r="R9" s="33">
        <v>16.600000000000001</v>
      </c>
      <c r="S9">
        <f t="shared" si="1"/>
        <v>0</v>
      </c>
      <c r="T9" s="33">
        <v>16</v>
      </c>
      <c r="U9">
        <f t="shared" si="1"/>
        <v>0</v>
      </c>
      <c r="V9" s="33">
        <v>14.4</v>
      </c>
      <c r="W9">
        <f t="shared" ref="W9:W37" si="2">IF(AND($C$1&gt;V9,$C$1&lt;V10),$A10,0)</f>
        <v>0</v>
      </c>
      <c r="X9" s="33">
        <v>12</v>
      </c>
      <c r="Y9">
        <f t="shared" ref="Y9:Y37" si="3">IF(AND($C$1&gt;X9,$C$1&lt;X10),$A10,0)</f>
        <v>0</v>
      </c>
    </row>
    <row r="10" spans="1:25" ht="15" x14ac:dyDescent="0.25">
      <c r="A10" s="37">
        <v>25</v>
      </c>
      <c r="B10" s="33">
        <v>22.4</v>
      </c>
      <c r="C10">
        <f t="shared" si="0"/>
        <v>0</v>
      </c>
      <c r="D10" s="33">
        <v>21</v>
      </c>
      <c r="E10">
        <f t="shared" si="1"/>
        <v>0</v>
      </c>
      <c r="F10" s="33">
        <v>20.399999999999999</v>
      </c>
      <c r="G10">
        <f t="shared" si="1"/>
        <v>0</v>
      </c>
      <c r="H10" s="33">
        <v>18</v>
      </c>
      <c r="I10">
        <f t="shared" si="1"/>
        <v>0</v>
      </c>
      <c r="J10" s="33">
        <v>21</v>
      </c>
      <c r="K10">
        <f t="shared" si="1"/>
        <v>0</v>
      </c>
      <c r="L10" s="33">
        <v>20.399999999999999</v>
      </c>
      <c r="M10">
        <f t="shared" si="1"/>
        <v>0</v>
      </c>
      <c r="N10" s="33">
        <v>18</v>
      </c>
      <c r="O10">
        <f t="shared" si="1"/>
        <v>0</v>
      </c>
      <c r="P10" s="33">
        <v>21.8</v>
      </c>
      <c r="Q10">
        <f t="shared" si="1"/>
        <v>0</v>
      </c>
      <c r="R10" s="33">
        <v>21</v>
      </c>
      <c r="S10">
        <f t="shared" si="1"/>
        <v>0</v>
      </c>
      <c r="T10" s="33">
        <v>20.399999999999999</v>
      </c>
      <c r="U10">
        <f t="shared" si="1"/>
        <v>0</v>
      </c>
      <c r="V10" s="33">
        <v>18</v>
      </c>
      <c r="W10">
        <f t="shared" si="2"/>
        <v>0</v>
      </c>
      <c r="X10" s="33">
        <v>15</v>
      </c>
      <c r="Y10">
        <f t="shared" si="3"/>
        <v>0</v>
      </c>
    </row>
    <row r="11" spans="1:25" ht="15" x14ac:dyDescent="0.25">
      <c r="A11" s="37">
        <v>32</v>
      </c>
      <c r="B11" s="33">
        <v>29</v>
      </c>
      <c r="C11">
        <f t="shared" si="0"/>
        <v>40</v>
      </c>
      <c r="D11" s="33">
        <v>28</v>
      </c>
      <c r="E11">
        <f t="shared" si="1"/>
        <v>40</v>
      </c>
      <c r="F11" s="33">
        <v>26.2</v>
      </c>
      <c r="G11">
        <f t="shared" si="1"/>
        <v>0</v>
      </c>
      <c r="H11" s="33">
        <v>23.2</v>
      </c>
      <c r="I11">
        <f t="shared" si="1"/>
        <v>0</v>
      </c>
      <c r="J11" s="33">
        <v>28</v>
      </c>
      <c r="K11">
        <f t="shared" si="1"/>
        <v>40</v>
      </c>
      <c r="L11" s="33">
        <v>26.2</v>
      </c>
      <c r="M11">
        <f t="shared" si="1"/>
        <v>0</v>
      </c>
      <c r="N11" s="33">
        <v>23.2</v>
      </c>
      <c r="O11">
        <f t="shared" si="1"/>
        <v>0</v>
      </c>
      <c r="P11" s="33">
        <v>28.4</v>
      </c>
      <c r="Q11">
        <f t="shared" si="1"/>
        <v>0</v>
      </c>
      <c r="R11" s="33">
        <v>28</v>
      </c>
      <c r="S11">
        <f t="shared" si="1"/>
        <v>40</v>
      </c>
      <c r="T11" s="33">
        <v>26.2</v>
      </c>
      <c r="U11">
        <f t="shared" si="1"/>
        <v>0</v>
      </c>
      <c r="V11" s="33">
        <v>23.2</v>
      </c>
      <c r="W11">
        <f t="shared" si="2"/>
        <v>0</v>
      </c>
      <c r="X11" s="33">
        <v>19.2</v>
      </c>
      <c r="Y11">
        <f t="shared" si="3"/>
        <v>0</v>
      </c>
    </row>
    <row r="12" spans="1:25" ht="15" x14ac:dyDescent="0.25">
      <c r="A12" s="37">
        <v>40</v>
      </c>
      <c r="B12" s="33">
        <v>36</v>
      </c>
      <c r="C12">
        <f t="shared" si="0"/>
        <v>0</v>
      </c>
      <c r="D12" s="33">
        <v>35.200000000000003</v>
      </c>
      <c r="E12">
        <f t="shared" si="1"/>
        <v>0</v>
      </c>
      <c r="F12" s="33">
        <v>32.6</v>
      </c>
      <c r="G12">
        <f t="shared" si="1"/>
        <v>50</v>
      </c>
      <c r="H12" s="33">
        <v>29</v>
      </c>
      <c r="I12">
        <f t="shared" si="1"/>
        <v>50</v>
      </c>
      <c r="J12" s="33">
        <v>35.200000000000003</v>
      </c>
      <c r="K12">
        <f t="shared" si="1"/>
        <v>0</v>
      </c>
      <c r="L12" s="33">
        <v>32.6</v>
      </c>
      <c r="M12">
        <f t="shared" si="1"/>
        <v>50</v>
      </c>
      <c r="N12" s="33">
        <v>29</v>
      </c>
      <c r="O12">
        <f t="shared" si="1"/>
        <v>50</v>
      </c>
      <c r="P12" s="34"/>
      <c r="Q12">
        <f t="shared" si="1"/>
        <v>0</v>
      </c>
      <c r="R12" s="33">
        <v>35.200000000000003</v>
      </c>
      <c r="S12">
        <f t="shared" si="1"/>
        <v>0</v>
      </c>
      <c r="T12" s="33">
        <v>32.6</v>
      </c>
      <c r="U12">
        <f t="shared" si="1"/>
        <v>50</v>
      </c>
      <c r="V12" s="33">
        <v>29</v>
      </c>
      <c r="W12">
        <f t="shared" si="2"/>
        <v>50</v>
      </c>
      <c r="X12" s="33">
        <v>24</v>
      </c>
      <c r="Y12">
        <f t="shared" si="3"/>
        <v>0</v>
      </c>
    </row>
    <row r="13" spans="1:25" ht="15" x14ac:dyDescent="0.25">
      <c r="A13" s="37">
        <v>50</v>
      </c>
      <c r="B13" s="33">
        <v>46</v>
      </c>
      <c r="C13">
        <f t="shared" si="0"/>
        <v>0</v>
      </c>
      <c r="D13" s="33">
        <v>44</v>
      </c>
      <c r="E13">
        <f t="shared" si="1"/>
        <v>0</v>
      </c>
      <c r="F13" s="33">
        <v>40.799999999999997</v>
      </c>
      <c r="G13">
        <f t="shared" si="1"/>
        <v>0</v>
      </c>
      <c r="H13" s="33">
        <v>36.200000000000003</v>
      </c>
      <c r="I13">
        <f t="shared" si="1"/>
        <v>0</v>
      </c>
      <c r="J13" s="33">
        <v>44</v>
      </c>
      <c r="K13">
        <f t="shared" si="1"/>
        <v>0</v>
      </c>
      <c r="L13" s="33">
        <v>40.799999999999997</v>
      </c>
      <c r="M13">
        <f t="shared" si="1"/>
        <v>0</v>
      </c>
      <c r="N13" s="33">
        <v>36.200000000000003</v>
      </c>
      <c r="O13">
        <f t="shared" si="1"/>
        <v>0</v>
      </c>
      <c r="P13" s="34"/>
      <c r="Q13">
        <f t="shared" si="1"/>
        <v>0</v>
      </c>
      <c r="R13" s="33">
        <v>44</v>
      </c>
      <c r="S13">
        <f t="shared" si="1"/>
        <v>0</v>
      </c>
      <c r="T13" s="33">
        <v>40.799999999999997</v>
      </c>
      <c r="U13">
        <f t="shared" si="1"/>
        <v>0</v>
      </c>
      <c r="V13" s="33">
        <v>36.200000000000003</v>
      </c>
      <c r="W13">
        <f t="shared" si="2"/>
        <v>0</v>
      </c>
      <c r="X13" s="33">
        <v>30</v>
      </c>
      <c r="Y13">
        <f t="shared" si="3"/>
        <v>63</v>
      </c>
    </row>
    <row r="14" spans="1:25" ht="15" x14ac:dyDescent="0.25">
      <c r="A14" s="37">
        <v>63</v>
      </c>
      <c r="B14" s="33">
        <v>58.2</v>
      </c>
      <c r="C14">
        <f t="shared" si="0"/>
        <v>0</v>
      </c>
      <c r="D14" s="33">
        <v>55.4</v>
      </c>
      <c r="E14">
        <f t="shared" si="1"/>
        <v>0</v>
      </c>
      <c r="F14" s="33">
        <v>51.4</v>
      </c>
      <c r="G14">
        <f t="shared" si="1"/>
        <v>0</v>
      </c>
      <c r="H14" s="33">
        <v>45.8</v>
      </c>
      <c r="I14">
        <f t="shared" si="1"/>
        <v>0</v>
      </c>
      <c r="J14" s="33">
        <v>55.4</v>
      </c>
      <c r="K14">
        <f t="shared" si="1"/>
        <v>0</v>
      </c>
      <c r="L14" s="33">
        <v>51.4</v>
      </c>
      <c r="M14">
        <f t="shared" si="1"/>
        <v>0</v>
      </c>
      <c r="N14" s="33">
        <v>45.8</v>
      </c>
      <c r="O14">
        <f t="shared" si="1"/>
        <v>0</v>
      </c>
      <c r="P14" s="34"/>
      <c r="Q14">
        <f t="shared" si="1"/>
        <v>0</v>
      </c>
      <c r="R14" s="33">
        <v>55.4</v>
      </c>
      <c r="S14">
        <f t="shared" si="1"/>
        <v>0</v>
      </c>
      <c r="T14" s="33">
        <v>51.4</v>
      </c>
      <c r="U14">
        <f t="shared" si="1"/>
        <v>0</v>
      </c>
      <c r="V14" s="33">
        <v>45.8</v>
      </c>
      <c r="W14">
        <f t="shared" si="2"/>
        <v>0</v>
      </c>
      <c r="X14" s="33">
        <v>37.799999999999997</v>
      </c>
      <c r="Y14">
        <f t="shared" si="3"/>
        <v>0</v>
      </c>
    </row>
    <row r="15" spans="1:25" ht="15" x14ac:dyDescent="0.25">
      <c r="A15" s="37">
        <v>75</v>
      </c>
      <c r="B15" s="33">
        <v>69.2</v>
      </c>
      <c r="C15">
        <f t="shared" si="0"/>
        <v>0</v>
      </c>
      <c r="D15" s="33">
        <v>66</v>
      </c>
      <c r="E15">
        <f t="shared" si="1"/>
        <v>0</v>
      </c>
      <c r="F15" s="33">
        <v>61.4</v>
      </c>
      <c r="G15">
        <f t="shared" si="1"/>
        <v>0</v>
      </c>
      <c r="H15" s="33">
        <v>54.4</v>
      </c>
      <c r="I15">
        <f t="shared" si="1"/>
        <v>0</v>
      </c>
      <c r="J15" s="33">
        <v>66</v>
      </c>
      <c r="K15">
        <f t="shared" si="1"/>
        <v>0</v>
      </c>
      <c r="L15" s="33">
        <v>61.4</v>
      </c>
      <c r="M15">
        <f t="shared" si="1"/>
        <v>0</v>
      </c>
      <c r="N15" s="33">
        <v>54.4</v>
      </c>
      <c r="O15">
        <f t="shared" si="1"/>
        <v>0</v>
      </c>
      <c r="P15" s="34"/>
      <c r="Q15">
        <f t="shared" si="1"/>
        <v>0</v>
      </c>
      <c r="R15" s="33">
        <v>66</v>
      </c>
      <c r="S15">
        <f t="shared" si="1"/>
        <v>0</v>
      </c>
      <c r="T15" s="33">
        <v>61.4</v>
      </c>
      <c r="U15">
        <f t="shared" si="1"/>
        <v>0</v>
      </c>
      <c r="V15" s="33">
        <v>54.4</v>
      </c>
      <c r="W15">
        <f t="shared" si="2"/>
        <v>0</v>
      </c>
      <c r="X15" s="33">
        <v>45</v>
      </c>
      <c r="Y15">
        <f t="shared" si="3"/>
        <v>0</v>
      </c>
    </row>
    <row r="16" spans="1:25" ht="15" x14ac:dyDescent="0.25">
      <c r="A16" s="37">
        <v>90</v>
      </c>
      <c r="B16" s="33">
        <v>83</v>
      </c>
      <c r="C16">
        <f t="shared" si="0"/>
        <v>0</v>
      </c>
      <c r="D16" s="33">
        <v>79.2</v>
      </c>
      <c r="E16">
        <f t="shared" si="1"/>
        <v>0</v>
      </c>
      <c r="F16" s="33">
        <v>73.599999999999994</v>
      </c>
      <c r="G16">
        <f t="shared" si="1"/>
        <v>0</v>
      </c>
      <c r="H16" s="33">
        <v>65.2</v>
      </c>
      <c r="I16">
        <f t="shared" si="1"/>
        <v>0</v>
      </c>
      <c r="J16" s="33">
        <v>79.2</v>
      </c>
      <c r="K16">
        <f t="shared" si="1"/>
        <v>0</v>
      </c>
      <c r="L16" s="33">
        <v>73.599999999999994</v>
      </c>
      <c r="M16">
        <f t="shared" si="1"/>
        <v>0</v>
      </c>
      <c r="N16" s="33">
        <v>65.2</v>
      </c>
      <c r="O16">
        <f t="shared" si="1"/>
        <v>0</v>
      </c>
      <c r="P16" s="34"/>
      <c r="Q16">
        <f t="shared" si="1"/>
        <v>0</v>
      </c>
      <c r="R16" s="33">
        <v>79.2</v>
      </c>
      <c r="S16">
        <f t="shared" si="1"/>
        <v>0</v>
      </c>
      <c r="T16" s="33">
        <v>73.599999999999994</v>
      </c>
      <c r="U16">
        <f t="shared" si="1"/>
        <v>0</v>
      </c>
      <c r="V16" s="33">
        <v>65.400000000000006</v>
      </c>
      <c r="W16">
        <f t="shared" si="2"/>
        <v>0</v>
      </c>
      <c r="X16" s="34"/>
      <c r="Y16">
        <f t="shared" si="3"/>
        <v>0</v>
      </c>
    </row>
    <row r="17" spans="1:25" ht="15" x14ac:dyDescent="0.25">
      <c r="A17" s="37">
        <v>110</v>
      </c>
      <c r="B17" s="33">
        <v>101.6</v>
      </c>
      <c r="C17">
        <f t="shared" si="0"/>
        <v>0</v>
      </c>
      <c r="D17" s="33">
        <v>96.8</v>
      </c>
      <c r="E17">
        <f t="shared" si="1"/>
        <v>0</v>
      </c>
      <c r="F17" s="33">
        <v>90</v>
      </c>
      <c r="G17">
        <f t="shared" si="1"/>
        <v>0</v>
      </c>
      <c r="H17" s="33">
        <v>79.599999999999994</v>
      </c>
      <c r="I17">
        <f t="shared" si="1"/>
        <v>0</v>
      </c>
      <c r="J17" s="34"/>
      <c r="K17">
        <f t="shared" si="1"/>
        <v>0</v>
      </c>
      <c r="L17" s="34"/>
      <c r="M17">
        <f t="shared" si="1"/>
        <v>0</v>
      </c>
      <c r="N17" s="34"/>
      <c r="O17">
        <f t="shared" si="1"/>
        <v>0</v>
      </c>
      <c r="P17" s="34"/>
      <c r="Q17">
        <f t="shared" si="1"/>
        <v>0</v>
      </c>
      <c r="R17" s="33">
        <v>96.8</v>
      </c>
      <c r="S17">
        <f t="shared" si="1"/>
        <v>0</v>
      </c>
      <c r="T17" s="33">
        <v>90</v>
      </c>
      <c r="U17">
        <f t="shared" si="1"/>
        <v>0</v>
      </c>
      <c r="V17" s="33">
        <v>79.8</v>
      </c>
      <c r="W17">
        <f t="shared" si="2"/>
        <v>0</v>
      </c>
      <c r="X17" s="34"/>
      <c r="Y17">
        <f t="shared" si="3"/>
        <v>0</v>
      </c>
    </row>
    <row r="18" spans="1:25" ht="15" x14ac:dyDescent="0.25">
      <c r="A18" s="37">
        <v>125</v>
      </c>
      <c r="B18" s="33">
        <v>115.4</v>
      </c>
      <c r="C18">
        <f t="shared" si="0"/>
        <v>0</v>
      </c>
      <c r="D18" s="33">
        <v>110.2</v>
      </c>
      <c r="E18">
        <f t="shared" si="1"/>
        <v>0</v>
      </c>
      <c r="F18" s="33">
        <v>102.2</v>
      </c>
      <c r="G18">
        <f t="shared" si="1"/>
        <v>0</v>
      </c>
      <c r="H18" s="34"/>
      <c r="I18">
        <f t="shared" si="1"/>
        <v>0</v>
      </c>
      <c r="J18" s="34"/>
      <c r="K18">
        <f t="shared" si="1"/>
        <v>0</v>
      </c>
      <c r="L18" s="34"/>
      <c r="M18">
        <f t="shared" si="1"/>
        <v>0</v>
      </c>
      <c r="N18" s="34"/>
      <c r="O18">
        <f t="shared" si="1"/>
        <v>0</v>
      </c>
      <c r="P18" s="34"/>
      <c r="Q18">
        <f t="shared" si="1"/>
        <v>0</v>
      </c>
      <c r="R18" s="33">
        <v>110.2</v>
      </c>
      <c r="S18">
        <f t="shared" si="1"/>
        <v>0</v>
      </c>
      <c r="T18" s="33">
        <v>102.2</v>
      </c>
      <c r="U18">
        <f t="shared" si="1"/>
        <v>0</v>
      </c>
      <c r="V18" s="33">
        <v>90.8</v>
      </c>
      <c r="W18">
        <f t="shared" si="2"/>
        <v>0</v>
      </c>
      <c r="X18" s="34"/>
      <c r="Y18">
        <f t="shared" si="3"/>
        <v>0</v>
      </c>
    </row>
    <row r="19" spans="1:25" ht="15" x14ac:dyDescent="0.25">
      <c r="A19" s="37">
        <v>140</v>
      </c>
      <c r="B19" s="33">
        <v>129.19999999999999</v>
      </c>
      <c r="C19">
        <f t="shared" si="0"/>
        <v>0</v>
      </c>
      <c r="D19" s="33">
        <v>123.4</v>
      </c>
      <c r="E19">
        <f t="shared" si="1"/>
        <v>0</v>
      </c>
      <c r="F19" s="33">
        <v>114.6</v>
      </c>
      <c r="G19">
        <f t="shared" si="1"/>
        <v>0</v>
      </c>
      <c r="H19" s="34"/>
      <c r="I19">
        <f t="shared" si="1"/>
        <v>0</v>
      </c>
      <c r="J19" s="34"/>
      <c r="K19">
        <f t="shared" si="1"/>
        <v>0</v>
      </c>
      <c r="L19" s="34"/>
      <c r="M19">
        <f t="shared" si="1"/>
        <v>0</v>
      </c>
      <c r="N19" s="34"/>
      <c r="O19">
        <f t="shared" si="1"/>
        <v>0</v>
      </c>
      <c r="P19" s="34"/>
      <c r="Q19">
        <f t="shared" si="1"/>
        <v>0</v>
      </c>
      <c r="R19" s="33">
        <v>123.4</v>
      </c>
      <c r="S19">
        <f t="shared" si="1"/>
        <v>0</v>
      </c>
      <c r="T19" s="33">
        <v>114.6</v>
      </c>
      <c r="U19">
        <f t="shared" si="1"/>
        <v>0</v>
      </c>
      <c r="V19" s="33">
        <v>101.6</v>
      </c>
      <c r="W19">
        <f t="shared" si="2"/>
        <v>0</v>
      </c>
      <c r="X19" s="34"/>
      <c r="Y19">
        <f t="shared" si="3"/>
        <v>0</v>
      </c>
    </row>
    <row r="20" spans="1:25" ht="15" x14ac:dyDescent="0.25">
      <c r="A20" s="37">
        <v>160</v>
      </c>
      <c r="B20" s="33">
        <v>147.6</v>
      </c>
      <c r="C20">
        <f t="shared" si="0"/>
        <v>0</v>
      </c>
      <c r="D20" s="33">
        <v>141</v>
      </c>
      <c r="E20">
        <f t="shared" si="1"/>
        <v>0</v>
      </c>
      <c r="F20" s="33">
        <v>130.6</v>
      </c>
      <c r="G20">
        <f t="shared" si="1"/>
        <v>0</v>
      </c>
      <c r="H20" s="34"/>
      <c r="I20">
        <f t="shared" si="1"/>
        <v>0</v>
      </c>
      <c r="J20" s="34"/>
      <c r="K20">
        <f t="shared" si="1"/>
        <v>0</v>
      </c>
      <c r="L20" s="34"/>
      <c r="M20">
        <f t="shared" si="1"/>
        <v>0</v>
      </c>
      <c r="N20" s="34"/>
      <c r="O20">
        <f t="shared" si="1"/>
        <v>0</v>
      </c>
      <c r="P20" s="34"/>
      <c r="Q20">
        <f t="shared" si="1"/>
        <v>0</v>
      </c>
      <c r="R20" s="33">
        <v>141</v>
      </c>
      <c r="S20">
        <f t="shared" si="1"/>
        <v>0</v>
      </c>
      <c r="T20" s="33">
        <v>130.80000000000001</v>
      </c>
      <c r="U20">
        <f t="shared" si="1"/>
        <v>0</v>
      </c>
      <c r="V20" s="33">
        <v>116.2</v>
      </c>
      <c r="W20">
        <f t="shared" si="2"/>
        <v>0</v>
      </c>
      <c r="X20" s="34"/>
      <c r="Y20">
        <f t="shared" si="3"/>
        <v>0</v>
      </c>
    </row>
    <row r="21" spans="1:25" ht="15" x14ac:dyDescent="0.25">
      <c r="A21" s="37">
        <v>180</v>
      </c>
      <c r="B21" s="33">
        <v>166.2</v>
      </c>
      <c r="C21">
        <f t="shared" si="0"/>
        <v>0</v>
      </c>
      <c r="D21" s="33">
        <v>158.6</v>
      </c>
      <c r="E21">
        <f t="shared" si="1"/>
        <v>0</v>
      </c>
      <c r="F21" s="33">
        <v>147.19999999999999</v>
      </c>
      <c r="G21">
        <f t="shared" si="1"/>
        <v>0</v>
      </c>
      <c r="H21" s="34"/>
      <c r="I21">
        <f t="shared" si="1"/>
        <v>0</v>
      </c>
      <c r="J21" s="34"/>
      <c r="K21">
        <f t="shared" si="1"/>
        <v>0</v>
      </c>
      <c r="L21" s="34"/>
      <c r="M21">
        <f t="shared" si="1"/>
        <v>0</v>
      </c>
      <c r="N21" s="34"/>
      <c r="O21">
        <f t="shared" si="1"/>
        <v>0</v>
      </c>
      <c r="P21" s="34"/>
      <c r="Q21">
        <f t="shared" si="1"/>
        <v>0</v>
      </c>
      <c r="R21" s="33">
        <v>158.6</v>
      </c>
      <c r="S21">
        <f t="shared" si="1"/>
        <v>0</v>
      </c>
      <c r="T21" s="33">
        <v>147.19999999999999</v>
      </c>
      <c r="U21">
        <f t="shared" si="1"/>
        <v>0</v>
      </c>
      <c r="V21" s="33">
        <v>130.80000000000001</v>
      </c>
      <c r="W21">
        <f t="shared" si="2"/>
        <v>0</v>
      </c>
      <c r="X21" s="34"/>
      <c r="Y21">
        <f t="shared" si="3"/>
        <v>0</v>
      </c>
    </row>
    <row r="22" spans="1:25" ht="15" x14ac:dyDescent="0.25">
      <c r="A22" s="37">
        <v>200</v>
      </c>
      <c r="B22" s="33">
        <v>184.6</v>
      </c>
      <c r="C22">
        <f t="shared" si="0"/>
        <v>0</v>
      </c>
      <c r="D22" s="33">
        <v>176.2</v>
      </c>
      <c r="E22">
        <f t="shared" si="1"/>
        <v>0</v>
      </c>
      <c r="F22" s="33">
        <v>163.6</v>
      </c>
      <c r="G22">
        <f t="shared" si="1"/>
        <v>0</v>
      </c>
      <c r="H22" s="34"/>
      <c r="I22">
        <f t="shared" si="1"/>
        <v>0</v>
      </c>
      <c r="J22" s="34"/>
      <c r="K22">
        <f t="shared" si="1"/>
        <v>0</v>
      </c>
      <c r="L22" s="34"/>
      <c r="M22">
        <f t="shared" si="1"/>
        <v>0</v>
      </c>
      <c r="N22" s="34"/>
      <c r="O22">
        <f t="shared" si="1"/>
        <v>0</v>
      </c>
      <c r="P22" s="34"/>
      <c r="Q22">
        <f t="shared" si="1"/>
        <v>0</v>
      </c>
      <c r="R22" s="33">
        <v>176.2</v>
      </c>
      <c r="S22">
        <f t="shared" si="1"/>
        <v>0</v>
      </c>
      <c r="T22" s="33">
        <v>163.6</v>
      </c>
      <c r="U22">
        <f t="shared" si="1"/>
        <v>0</v>
      </c>
      <c r="V22" s="33">
        <v>145.4</v>
      </c>
      <c r="W22">
        <f t="shared" si="2"/>
        <v>0</v>
      </c>
      <c r="X22" s="34"/>
      <c r="Y22">
        <f t="shared" si="3"/>
        <v>0</v>
      </c>
    </row>
    <row r="23" spans="1:25" ht="15" x14ac:dyDescent="0.25">
      <c r="A23" s="37">
        <v>225</v>
      </c>
      <c r="B23" s="33">
        <v>207.8</v>
      </c>
      <c r="C23">
        <f t="shared" si="0"/>
        <v>0</v>
      </c>
      <c r="D23" s="33">
        <v>198.2</v>
      </c>
      <c r="E23">
        <f t="shared" si="1"/>
        <v>0</v>
      </c>
      <c r="F23" s="33">
        <v>184</v>
      </c>
      <c r="G23">
        <f t="shared" si="1"/>
        <v>0</v>
      </c>
      <c r="H23" s="34"/>
      <c r="I23">
        <f t="shared" si="1"/>
        <v>0</v>
      </c>
      <c r="J23" s="34"/>
      <c r="K23">
        <f t="shared" si="1"/>
        <v>0</v>
      </c>
      <c r="L23" s="34"/>
      <c r="M23">
        <f t="shared" si="1"/>
        <v>0</v>
      </c>
      <c r="N23" s="34"/>
      <c r="O23">
        <f t="shared" si="1"/>
        <v>0</v>
      </c>
      <c r="P23" s="34"/>
      <c r="Q23">
        <f t="shared" si="1"/>
        <v>0</v>
      </c>
      <c r="R23" s="33">
        <v>198.2</v>
      </c>
      <c r="S23">
        <f t="shared" si="1"/>
        <v>0</v>
      </c>
      <c r="T23" s="33">
        <v>184</v>
      </c>
      <c r="U23">
        <f t="shared" si="1"/>
        <v>0</v>
      </c>
      <c r="V23" s="34"/>
      <c r="W23">
        <f t="shared" si="2"/>
        <v>0</v>
      </c>
      <c r="X23" s="34"/>
      <c r="Y23">
        <f t="shared" si="3"/>
        <v>0</v>
      </c>
    </row>
    <row r="24" spans="1:25" ht="15" x14ac:dyDescent="0.25">
      <c r="A24" s="37">
        <v>250</v>
      </c>
      <c r="B24" s="33">
        <v>230.8</v>
      </c>
      <c r="C24">
        <f t="shared" si="0"/>
        <v>0</v>
      </c>
      <c r="D24" s="33">
        <v>220.4</v>
      </c>
      <c r="E24">
        <f t="shared" si="1"/>
        <v>0</v>
      </c>
      <c r="F24" s="33">
        <v>204.6</v>
      </c>
      <c r="G24">
        <f t="shared" si="1"/>
        <v>0</v>
      </c>
      <c r="H24" s="34"/>
      <c r="I24">
        <f t="shared" si="1"/>
        <v>0</v>
      </c>
      <c r="J24" s="34"/>
      <c r="K24">
        <f t="shared" si="1"/>
        <v>0</v>
      </c>
      <c r="L24" s="34"/>
      <c r="M24">
        <f t="shared" si="1"/>
        <v>0</v>
      </c>
      <c r="N24" s="34"/>
      <c r="O24">
        <f t="shared" si="1"/>
        <v>0</v>
      </c>
      <c r="P24" s="34"/>
      <c r="Q24">
        <f t="shared" si="1"/>
        <v>0</v>
      </c>
      <c r="R24" s="33">
        <v>220.4</v>
      </c>
      <c r="S24">
        <f t="shared" si="1"/>
        <v>0</v>
      </c>
      <c r="T24" s="33">
        <v>204.6</v>
      </c>
      <c r="U24">
        <f t="shared" si="1"/>
        <v>0</v>
      </c>
      <c r="V24" s="34"/>
      <c r="W24">
        <f t="shared" si="2"/>
        <v>0</v>
      </c>
      <c r="X24" s="34"/>
      <c r="Y24">
        <f t="shared" si="3"/>
        <v>0</v>
      </c>
    </row>
    <row r="25" spans="1:25" ht="15" x14ac:dyDescent="0.25">
      <c r="A25" s="37">
        <v>280</v>
      </c>
      <c r="B25" s="33">
        <v>258.60000000000002</v>
      </c>
      <c r="C25">
        <f t="shared" si="0"/>
        <v>0</v>
      </c>
      <c r="D25" s="33">
        <v>246.8</v>
      </c>
      <c r="E25">
        <f t="shared" si="1"/>
        <v>0</v>
      </c>
      <c r="F25" s="33">
        <v>229.2</v>
      </c>
      <c r="G25">
        <f t="shared" si="1"/>
        <v>0</v>
      </c>
      <c r="H25" s="34"/>
      <c r="I25">
        <f t="shared" si="1"/>
        <v>0</v>
      </c>
      <c r="J25" s="34"/>
      <c r="K25">
        <f t="shared" si="1"/>
        <v>0</v>
      </c>
      <c r="L25" s="34"/>
      <c r="M25">
        <f t="shared" si="1"/>
        <v>0</v>
      </c>
      <c r="N25" s="34"/>
      <c r="O25">
        <f t="shared" si="1"/>
        <v>0</v>
      </c>
      <c r="P25" s="34"/>
      <c r="Q25">
        <f t="shared" si="1"/>
        <v>0</v>
      </c>
      <c r="R25" s="33">
        <v>246.8</v>
      </c>
      <c r="S25">
        <f t="shared" si="1"/>
        <v>0</v>
      </c>
      <c r="T25" s="33">
        <v>229.2</v>
      </c>
      <c r="U25">
        <f t="shared" si="1"/>
        <v>0</v>
      </c>
      <c r="V25" s="34"/>
      <c r="W25">
        <f t="shared" si="2"/>
        <v>0</v>
      </c>
      <c r="X25" s="34"/>
      <c r="Y25">
        <f t="shared" si="3"/>
        <v>0</v>
      </c>
    </row>
    <row r="26" spans="1:25" ht="15" x14ac:dyDescent="0.25">
      <c r="A26" s="37">
        <v>315</v>
      </c>
      <c r="B26" s="33">
        <v>290.8</v>
      </c>
      <c r="C26">
        <f t="shared" si="0"/>
        <v>0</v>
      </c>
      <c r="D26" s="33">
        <v>277.60000000000002</v>
      </c>
      <c r="E26">
        <f t="shared" si="1"/>
        <v>0</v>
      </c>
      <c r="F26" s="33">
        <v>257.8</v>
      </c>
      <c r="G26">
        <f t="shared" si="1"/>
        <v>0</v>
      </c>
      <c r="H26" s="34"/>
      <c r="I26">
        <f t="shared" si="1"/>
        <v>0</v>
      </c>
      <c r="J26" s="34"/>
      <c r="K26">
        <f t="shared" si="1"/>
        <v>0</v>
      </c>
      <c r="L26" s="34"/>
      <c r="M26">
        <f t="shared" si="1"/>
        <v>0</v>
      </c>
      <c r="N26" s="34"/>
      <c r="O26">
        <f t="shared" si="1"/>
        <v>0</v>
      </c>
      <c r="P26" s="34"/>
      <c r="Q26">
        <f t="shared" si="1"/>
        <v>0</v>
      </c>
      <c r="R26" s="33">
        <v>277.60000000000002</v>
      </c>
      <c r="S26">
        <f t="shared" si="1"/>
        <v>0</v>
      </c>
      <c r="T26" s="33">
        <v>257.8</v>
      </c>
      <c r="U26">
        <f t="shared" si="1"/>
        <v>0</v>
      </c>
      <c r="V26" s="34"/>
      <c r="W26">
        <f t="shared" si="2"/>
        <v>0</v>
      </c>
      <c r="X26" s="34"/>
      <c r="Y26">
        <f t="shared" si="3"/>
        <v>0</v>
      </c>
    </row>
    <row r="27" spans="1:25" ht="15" x14ac:dyDescent="0.25">
      <c r="A27" s="37">
        <v>355</v>
      </c>
      <c r="B27" s="33">
        <v>333.6</v>
      </c>
      <c r="C27">
        <f t="shared" si="0"/>
        <v>0</v>
      </c>
      <c r="D27" s="33">
        <v>312.8</v>
      </c>
      <c r="E27">
        <f t="shared" si="1"/>
        <v>0</v>
      </c>
      <c r="F27" s="33">
        <v>290.39999999999998</v>
      </c>
      <c r="G27">
        <f t="shared" si="1"/>
        <v>0</v>
      </c>
      <c r="H27" s="34"/>
      <c r="I27">
        <f t="shared" si="1"/>
        <v>0</v>
      </c>
      <c r="J27" s="34"/>
      <c r="K27">
        <f t="shared" si="1"/>
        <v>0</v>
      </c>
      <c r="L27" s="34"/>
      <c r="M27">
        <f t="shared" si="1"/>
        <v>0</v>
      </c>
      <c r="N27" s="34"/>
      <c r="O27">
        <f t="shared" si="1"/>
        <v>0</v>
      </c>
      <c r="P27" s="34"/>
      <c r="Q27">
        <f t="shared" si="1"/>
        <v>0</v>
      </c>
      <c r="R27" s="33">
        <v>312.8</v>
      </c>
      <c r="S27">
        <f t="shared" si="1"/>
        <v>0</v>
      </c>
      <c r="T27" s="34"/>
      <c r="U27">
        <f t="shared" si="1"/>
        <v>0</v>
      </c>
      <c r="V27" s="34"/>
      <c r="W27">
        <f t="shared" si="2"/>
        <v>0</v>
      </c>
      <c r="X27" s="34"/>
      <c r="Y27">
        <f t="shared" si="3"/>
        <v>0</v>
      </c>
    </row>
    <row r="28" spans="1:25" ht="15" x14ac:dyDescent="0.25">
      <c r="A28" s="37">
        <v>400</v>
      </c>
      <c r="B28" s="33">
        <v>369.2</v>
      </c>
      <c r="C28">
        <f t="shared" si="0"/>
        <v>0</v>
      </c>
      <c r="D28" s="33">
        <v>352.6</v>
      </c>
      <c r="E28">
        <f t="shared" si="1"/>
        <v>0</v>
      </c>
      <c r="F28" s="33">
        <v>327.2</v>
      </c>
      <c r="G28">
        <f t="shared" si="1"/>
        <v>0</v>
      </c>
      <c r="H28" s="34"/>
      <c r="I28">
        <f t="shared" si="1"/>
        <v>0</v>
      </c>
      <c r="J28" s="34"/>
      <c r="K28">
        <f t="shared" si="1"/>
        <v>0</v>
      </c>
      <c r="L28" s="34"/>
      <c r="M28">
        <f t="shared" si="1"/>
        <v>0</v>
      </c>
      <c r="N28" s="34"/>
      <c r="O28">
        <f t="shared" si="1"/>
        <v>0</v>
      </c>
      <c r="P28" s="34"/>
      <c r="Q28">
        <f t="shared" si="1"/>
        <v>0</v>
      </c>
      <c r="R28" s="33">
        <v>352.6</v>
      </c>
      <c r="S28">
        <f t="shared" si="1"/>
        <v>0</v>
      </c>
      <c r="T28" s="34"/>
      <c r="U28">
        <f t="shared" si="1"/>
        <v>0</v>
      </c>
      <c r="V28" s="34"/>
      <c r="W28">
        <f t="shared" si="2"/>
        <v>0</v>
      </c>
      <c r="X28" s="34"/>
      <c r="Y28">
        <f t="shared" si="3"/>
        <v>0</v>
      </c>
    </row>
    <row r="29" spans="1:25" ht="15" x14ac:dyDescent="0.25">
      <c r="A29" s="37">
        <v>450</v>
      </c>
      <c r="B29" s="33">
        <v>415.6</v>
      </c>
      <c r="C29">
        <f t="shared" si="0"/>
        <v>0</v>
      </c>
      <c r="D29" s="33">
        <v>396.6</v>
      </c>
      <c r="E29">
        <f t="shared" si="1"/>
        <v>0</v>
      </c>
      <c r="F29" s="33">
        <v>368</v>
      </c>
      <c r="G29">
        <f t="shared" si="1"/>
        <v>0</v>
      </c>
      <c r="H29" s="34"/>
      <c r="I29">
        <f t="shared" si="1"/>
        <v>0</v>
      </c>
      <c r="J29" s="34"/>
      <c r="K29">
        <f t="shared" si="1"/>
        <v>0</v>
      </c>
      <c r="L29" s="34"/>
      <c r="M29">
        <f t="shared" si="1"/>
        <v>0</v>
      </c>
      <c r="N29" s="34"/>
      <c r="O29">
        <f t="shared" si="1"/>
        <v>0</v>
      </c>
      <c r="P29" s="34"/>
      <c r="Q29">
        <f t="shared" si="1"/>
        <v>0</v>
      </c>
      <c r="R29" s="33">
        <v>396.6</v>
      </c>
      <c r="S29">
        <f t="shared" si="1"/>
        <v>0</v>
      </c>
      <c r="T29" s="34"/>
      <c r="U29">
        <f t="shared" si="1"/>
        <v>0</v>
      </c>
      <c r="V29" s="34"/>
      <c r="W29">
        <f t="shared" si="2"/>
        <v>0</v>
      </c>
      <c r="X29" s="34"/>
      <c r="Y29">
        <f t="shared" si="3"/>
        <v>0</v>
      </c>
    </row>
    <row r="30" spans="1:25" ht="15" x14ac:dyDescent="0.25">
      <c r="A30" s="37">
        <v>500</v>
      </c>
      <c r="B30" s="33">
        <v>461.8</v>
      </c>
      <c r="C30">
        <f t="shared" si="0"/>
        <v>0</v>
      </c>
      <c r="D30" s="33">
        <v>440.8</v>
      </c>
      <c r="E30">
        <f t="shared" si="1"/>
        <v>0</v>
      </c>
      <c r="F30" s="33">
        <v>409</v>
      </c>
      <c r="G30">
        <f t="shared" si="1"/>
        <v>0</v>
      </c>
      <c r="H30" s="34"/>
      <c r="I30">
        <f t="shared" si="1"/>
        <v>0</v>
      </c>
      <c r="J30" s="34"/>
      <c r="K30">
        <f t="shared" si="1"/>
        <v>0</v>
      </c>
      <c r="L30" s="34"/>
      <c r="M30">
        <f t="shared" si="1"/>
        <v>0</v>
      </c>
      <c r="N30" s="34"/>
      <c r="O30">
        <f t="shared" si="1"/>
        <v>0</v>
      </c>
      <c r="P30" s="34"/>
      <c r="Q30">
        <f t="shared" si="1"/>
        <v>0</v>
      </c>
      <c r="R30" s="33">
        <v>440.8</v>
      </c>
      <c r="S30">
        <f t="shared" si="1"/>
        <v>0</v>
      </c>
      <c r="T30" s="34"/>
      <c r="U30">
        <f t="shared" si="1"/>
        <v>0</v>
      </c>
      <c r="V30" s="34"/>
      <c r="W30">
        <f t="shared" si="2"/>
        <v>0</v>
      </c>
      <c r="X30" s="34"/>
      <c r="Y30">
        <f t="shared" si="3"/>
        <v>0</v>
      </c>
    </row>
    <row r="31" spans="1:25" ht="15" x14ac:dyDescent="0.25">
      <c r="A31" s="37">
        <v>560</v>
      </c>
      <c r="B31" s="33">
        <v>517.20000000000005</v>
      </c>
      <c r="C31">
        <f t="shared" si="0"/>
        <v>0</v>
      </c>
      <c r="D31" s="33">
        <v>493.6</v>
      </c>
      <c r="E31">
        <f t="shared" si="1"/>
        <v>0</v>
      </c>
      <c r="F31" s="33">
        <v>458.2</v>
      </c>
      <c r="G31">
        <f t="shared" si="1"/>
        <v>0</v>
      </c>
      <c r="H31" s="34"/>
      <c r="I31">
        <f t="shared" si="1"/>
        <v>0</v>
      </c>
      <c r="J31" s="34"/>
      <c r="K31">
        <f t="shared" si="1"/>
        <v>0</v>
      </c>
      <c r="L31" s="34"/>
      <c r="M31">
        <f t="shared" si="1"/>
        <v>0</v>
      </c>
      <c r="N31" s="34"/>
      <c r="O31">
        <f t="shared" si="1"/>
        <v>0</v>
      </c>
      <c r="P31" s="34"/>
      <c r="Q31">
        <f t="shared" si="1"/>
        <v>0</v>
      </c>
      <c r="R31" s="34"/>
      <c r="S31">
        <f t="shared" si="1"/>
        <v>0</v>
      </c>
      <c r="T31" s="34"/>
      <c r="U31">
        <f t="shared" si="1"/>
        <v>0</v>
      </c>
      <c r="V31" s="34"/>
      <c r="W31">
        <f t="shared" si="2"/>
        <v>0</v>
      </c>
      <c r="X31" s="34"/>
      <c r="Y31">
        <f t="shared" si="3"/>
        <v>0</v>
      </c>
    </row>
    <row r="32" spans="1:25" ht="15" x14ac:dyDescent="0.25">
      <c r="A32" s="37">
        <v>630</v>
      </c>
      <c r="B32" s="33">
        <v>581.79999999999995</v>
      </c>
      <c r="C32">
        <f t="shared" si="0"/>
        <v>0</v>
      </c>
      <c r="D32" s="33">
        <v>555.20000000000005</v>
      </c>
      <c r="E32">
        <f t="shared" si="1"/>
        <v>0</v>
      </c>
      <c r="F32" s="33">
        <v>515.4</v>
      </c>
      <c r="G32">
        <f t="shared" si="1"/>
        <v>0</v>
      </c>
      <c r="H32" s="34"/>
      <c r="I32">
        <f t="shared" si="1"/>
        <v>0</v>
      </c>
      <c r="J32" s="34"/>
      <c r="K32">
        <f t="shared" si="1"/>
        <v>0</v>
      </c>
      <c r="L32" s="34"/>
      <c r="M32">
        <f t="shared" si="1"/>
        <v>0</v>
      </c>
      <c r="N32" s="34"/>
      <c r="O32">
        <f t="shared" si="1"/>
        <v>0</v>
      </c>
      <c r="P32" s="34"/>
      <c r="Q32">
        <f t="shared" si="1"/>
        <v>0</v>
      </c>
      <c r="R32" s="34"/>
      <c r="S32">
        <f t="shared" si="1"/>
        <v>0</v>
      </c>
      <c r="T32" s="34"/>
      <c r="U32">
        <f t="shared" ref="U32:U37" si="4">IF(AND($C$1&gt;T32,$C$1&lt;T33),$A33,0)</f>
        <v>0</v>
      </c>
      <c r="V32" s="34"/>
      <c r="W32">
        <f t="shared" si="2"/>
        <v>0</v>
      </c>
      <c r="X32" s="34"/>
      <c r="Y32">
        <f t="shared" si="3"/>
        <v>0</v>
      </c>
    </row>
    <row r="33" spans="1:25" ht="15" x14ac:dyDescent="0.25">
      <c r="A33" s="37">
        <v>710</v>
      </c>
      <c r="B33" s="33">
        <v>655.6</v>
      </c>
      <c r="C33">
        <f t="shared" si="0"/>
        <v>0</v>
      </c>
      <c r="D33" s="33">
        <v>626</v>
      </c>
      <c r="E33">
        <f t="shared" si="1"/>
        <v>0</v>
      </c>
      <c r="F33" s="33">
        <v>581</v>
      </c>
      <c r="G33">
        <f t="shared" si="1"/>
        <v>0</v>
      </c>
      <c r="H33" s="34"/>
      <c r="I33">
        <f t="shared" si="1"/>
        <v>0</v>
      </c>
      <c r="J33" s="34"/>
      <c r="K33">
        <f t="shared" si="1"/>
        <v>0</v>
      </c>
      <c r="L33" s="34"/>
      <c r="M33">
        <f t="shared" si="1"/>
        <v>0</v>
      </c>
      <c r="N33" s="34"/>
      <c r="O33">
        <f t="shared" si="1"/>
        <v>0</v>
      </c>
      <c r="P33" s="34"/>
      <c r="Q33">
        <f t="shared" si="1"/>
        <v>0</v>
      </c>
      <c r="R33" s="34"/>
      <c r="S33">
        <f t="shared" si="1"/>
        <v>0</v>
      </c>
      <c r="T33" s="34"/>
      <c r="U33">
        <f t="shared" si="4"/>
        <v>0</v>
      </c>
      <c r="V33" s="34"/>
      <c r="W33">
        <f t="shared" si="2"/>
        <v>0</v>
      </c>
      <c r="X33" s="34"/>
      <c r="Y33">
        <f t="shared" si="3"/>
        <v>0</v>
      </c>
    </row>
    <row r="34" spans="1:25" ht="15" x14ac:dyDescent="0.25">
      <c r="A34" s="37">
        <v>800</v>
      </c>
      <c r="B34" s="33">
        <v>738.8</v>
      </c>
      <c r="C34">
        <f t="shared" si="0"/>
        <v>0</v>
      </c>
      <c r="D34" s="33">
        <v>705.2</v>
      </c>
      <c r="E34">
        <f t="shared" si="1"/>
        <v>0</v>
      </c>
      <c r="F34" s="34"/>
      <c r="G34">
        <f t="shared" si="1"/>
        <v>0</v>
      </c>
      <c r="H34" s="34"/>
      <c r="I34">
        <f t="shared" si="1"/>
        <v>0</v>
      </c>
      <c r="J34" s="34"/>
      <c r="K34">
        <f t="shared" si="1"/>
        <v>0</v>
      </c>
      <c r="L34" s="34"/>
      <c r="M34">
        <f t="shared" si="1"/>
        <v>0</v>
      </c>
      <c r="N34" s="34"/>
      <c r="O34">
        <f t="shared" si="1"/>
        <v>0</v>
      </c>
      <c r="P34" s="34"/>
      <c r="Q34">
        <f t="shared" si="1"/>
        <v>0</v>
      </c>
      <c r="R34" s="34"/>
      <c r="S34">
        <f t="shared" si="1"/>
        <v>0</v>
      </c>
      <c r="T34" s="34"/>
      <c r="U34">
        <f t="shared" si="4"/>
        <v>0</v>
      </c>
      <c r="V34" s="34"/>
      <c r="W34">
        <f t="shared" si="2"/>
        <v>0</v>
      </c>
      <c r="X34" s="34"/>
      <c r="Y34">
        <f t="shared" si="3"/>
        <v>0</v>
      </c>
    </row>
    <row r="35" spans="1:25" ht="15" x14ac:dyDescent="0.25">
      <c r="A35" s="37">
        <v>900</v>
      </c>
      <c r="B35" s="33">
        <v>830.8</v>
      </c>
      <c r="C35">
        <f t="shared" si="0"/>
        <v>0</v>
      </c>
      <c r="D35" s="33">
        <v>793.4</v>
      </c>
      <c r="E35">
        <f t="shared" si="1"/>
        <v>0</v>
      </c>
      <c r="F35" s="34"/>
      <c r="G35">
        <f t="shared" si="1"/>
        <v>0</v>
      </c>
      <c r="H35" s="34"/>
      <c r="I35">
        <f t="shared" si="1"/>
        <v>0</v>
      </c>
      <c r="J35" s="34"/>
      <c r="K35">
        <f t="shared" si="1"/>
        <v>0</v>
      </c>
      <c r="L35" s="34"/>
      <c r="M35">
        <f t="shared" si="1"/>
        <v>0</v>
      </c>
      <c r="N35" s="34"/>
      <c r="O35">
        <f t="shared" si="1"/>
        <v>0</v>
      </c>
      <c r="P35" s="34"/>
      <c r="Q35">
        <f t="shared" si="1"/>
        <v>0</v>
      </c>
      <c r="R35" s="34"/>
      <c r="S35">
        <f t="shared" si="1"/>
        <v>0</v>
      </c>
      <c r="T35" s="34"/>
      <c r="U35">
        <f t="shared" si="4"/>
        <v>0</v>
      </c>
      <c r="V35" s="34"/>
      <c r="W35">
        <f t="shared" si="2"/>
        <v>0</v>
      </c>
      <c r="X35" s="34"/>
      <c r="Y35">
        <f t="shared" si="3"/>
        <v>0</v>
      </c>
    </row>
    <row r="36" spans="1:25" ht="15" x14ac:dyDescent="0.25">
      <c r="A36" s="37">
        <v>1000</v>
      </c>
      <c r="B36" s="33">
        <v>923</v>
      </c>
      <c r="C36">
        <f t="shared" si="0"/>
        <v>0</v>
      </c>
      <c r="D36" s="33">
        <v>881.4</v>
      </c>
      <c r="E36">
        <f t="shared" si="1"/>
        <v>0</v>
      </c>
      <c r="F36" s="34"/>
      <c r="G36">
        <f t="shared" si="1"/>
        <v>0</v>
      </c>
      <c r="H36" s="34"/>
      <c r="I36">
        <f t="shared" si="1"/>
        <v>0</v>
      </c>
      <c r="J36" s="34"/>
      <c r="K36">
        <f t="shared" si="1"/>
        <v>0</v>
      </c>
      <c r="L36" s="34"/>
      <c r="M36">
        <f t="shared" si="1"/>
        <v>0</v>
      </c>
      <c r="N36" s="34"/>
      <c r="O36">
        <f t="shared" si="1"/>
        <v>0</v>
      </c>
      <c r="P36" s="34"/>
      <c r="Q36">
        <f t="shared" si="1"/>
        <v>0</v>
      </c>
      <c r="R36" s="34"/>
      <c r="S36">
        <f t="shared" si="1"/>
        <v>0</v>
      </c>
      <c r="T36" s="34"/>
      <c r="U36">
        <f t="shared" si="4"/>
        <v>0</v>
      </c>
      <c r="V36" s="34"/>
      <c r="W36">
        <f t="shared" si="2"/>
        <v>0</v>
      </c>
      <c r="X36" s="34"/>
      <c r="Y36">
        <f t="shared" si="3"/>
        <v>0</v>
      </c>
    </row>
    <row r="37" spans="1:25" ht="15" x14ac:dyDescent="0.25">
      <c r="A37" s="37">
        <v>1200</v>
      </c>
      <c r="B37" s="33">
        <v>1107.5999999999999</v>
      </c>
      <c r="C37">
        <f t="shared" si="0"/>
        <v>0</v>
      </c>
      <c r="D37" s="34"/>
      <c r="E37">
        <f t="shared" si="1"/>
        <v>0</v>
      </c>
      <c r="F37" s="34"/>
      <c r="G37">
        <f t="shared" si="1"/>
        <v>0</v>
      </c>
      <c r="H37" s="32"/>
      <c r="I37">
        <f t="shared" si="1"/>
        <v>0</v>
      </c>
      <c r="J37" s="32"/>
      <c r="K37">
        <f t="shared" si="1"/>
        <v>0</v>
      </c>
      <c r="L37" s="32"/>
      <c r="M37">
        <f t="shared" si="1"/>
        <v>0</v>
      </c>
      <c r="N37" s="32"/>
      <c r="O37">
        <f t="shared" si="1"/>
        <v>0</v>
      </c>
      <c r="P37" s="32"/>
      <c r="Q37">
        <f t="shared" si="1"/>
        <v>0</v>
      </c>
      <c r="R37" s="32"/>
      <c r="S37">
        <f t="shared" si="1"/>
        <v>0</v>
      </c>
      <c r="T37" s="32"/>
      <c r="U37">
        <f t="shared" si="4"/>
        <v>0</v>
      </c>
      <c r="V37" s="32"/>
      <c r="W37">
        <f t="shared" si="2"/>
        <v>0</v>
      </c>
      <c r="X37" s="32"/>
      <c r="Y37">
        <f t="shared" si="3"/>
        <v>0</v>
      </c>
    </row>
    <row r="38" spans="1:25" x14ac:dyDescent="0.2">
      <c r="C38" s="42">
        <f>SUM(C8:C37)</f>
        <v>40</v>
      </c>
      <c r="E38" s="42">
        <f>SUM(E8:E37)</f>
        <v>40</v>
      </c>
      <c r="G38" s="42">
        <f>SUM(G8:G37)</f>
        <v>50</v>
      </c>
      <c r="I38" s="42">
        <f>SUM(I8:I37)</f>
        <v>50</v>
      </c>
      <c r="K38" s="42">
        <f>SUM(K8:K37)</f>
        <v>40</v>
      </c>
      <c r="M38" s="42">
        <f>SUM(M8:M37)</f>
        <v>50</v>
      </c>
      <c r="O38" s="42">
        <f>SUM(O8:O37)</f>
        <v>50</v>
      </c>
      <c r="Q38" s="42">
        <f>SUM(Q8:Q37)</f>
        <v>0</v>
      </c>
      <c r="S38" s="42">
        <f>SUM(S8:S37)</f>
        <v>40</v>
      </c>
      <c r="U38" s="42">
        <f>SUM(U8:U37)</f>
        <v>50</v>
      </c>
      <c r="W38" s="42">
        <f>SUM(W8:W37)</f>
        <v>50</v>
      </c>
      <c r="Y38" s="42">
        <f>SUM(Y8:Y37)</f>
        <v>63</v>
      </c>
    </row>
    <row r="40" spans="1:25" x14ac:dyDescent="0.2">
      <c r="A40" s="31" t="s">
        <v>72</v>
      </c>
    </row>
    <row r="41" spans="1:25" ht="15" x14ac:dyDescent="0.2">
      <c r="A41" s="31">
        <v>1</v>
      </c>
      <c r="B41" s="38" t="s">
        <v>71</v>
      </c>
      <c r="C41" s="35" t="s">
        <v>68</v>
      </c>
      <c r="D41" s="31" t="str">
        <f t="shared" ref="D41:D52" si="5">CONCATENATE(B41, E41,C41)</f>
        <v>PE32 - 2,5 atm</v>
      </c>
      <c r="E41" s="31" t="s">
        <v>73</v>
      </c>
    </row>
    <row r="42" spans="1:25" ht="15" x14ac:dyDescent="0.2">
      <c r="A42" s="31">
        <v>2</v>
      </c>
      <c r="B42" s="38" t="s">
        <v>71</v>
      </c>
      <c r="C42" s="35" t="s">
        <v>64</v>
      </c>
      <c r="D42" s="31" t="str">
        <f t="shared" si="5"/>
        <v>PE32 - 4 atm</v>
      </c>
      <c r="E42" s="31" t="s">
        <v>73</v>
      </c>
    </row>
    <row r="43" spans="1:25" ht="15" x14ac:dyDescent="0.2">
      <c r="A43" s="31">
        <v>3</v>
      </c>
      <c r="B43" s="38" t="s">
        <v>71</v>
      </c>
      <c r="C43" s="35" t="s">
        <v>65</v>
      </c>
      <c r="D43" s="31" t="str">
        <f t="shared" si="5"/>
        <v>PE32 - 6 atm</v>
      </c>
      <c r="E43" s="31" t="s">
        <v>73</v>
      </c>
    </row>
    <row r="44" spans="1:25" ht="15" x14ac:dyDescent="0.2">
      <c r="A44" s="31">
        <v>4</v>
      </c>
      <c r="B44" s="38" t="s">
        <v>71</v>
      </c>
      <c r="C44" s="35" t="s">
        <v>66</v>
      </c>
      <c r="D44" s="31" t="str">
        <f t="shared" si="5"/>
        <v>PE32 - 10 atm</v>
      </c>
      <c r="E44" s="31" t="s">
        <v>73</v>
      </c>
    </row>
    <row r="45" spans="1:25" ht="15" x14ac:dyDescent="0.2">
      <c r="A45" s="31">
        <v>5</v>
      </c>
      <c r="B45" s="38" t="s">
        <v>71</v>
      </c>
      <c r="C45" s="35" t="s">
        <v>67</v>
      </c>
      <c r="D45" s="31" t="str">
        <f t="shared" si="5"/>
        <v>PE32 - 16 atm</v>
      </c>
      <c r="E45" s="31" t="s">
        <v>73</v>
      </c>
    </row>
    <row r="46" spans="1:25" ht="15" x14ac:dyDescent="0.2">
      <c r="A46" s="31">
        <v>6</v>
      </c>
      <c r="B46" s="38" t="s">
        <v>70</v>
      </c>
      <c r="C46" s="35" t="s">
        <v>65</v>
      </c>
      <c r="D46" s="31" t="str">
        <f t="shared" si="5"/>
        <v>PE50 - 6 atm</v>
      </c>
      <c r="E46" s="31" t="s">
        <v>73</v>
      </c>
    </row>
    <row r="47" spans="1:25" ht="15" x14ac:dyDescent="0.2">
      <c r="A47" s="31">
        <v>7</v>
      </c>
      <c r="B47" s="38" t="s">
        <v>70</v>
      </c>
      <c r="C47" s="35" t="s">
        <v>66</v>
      </c>
      <c r="D47" s="31" t="str">
        <f t="shared" si="5"/>
        <v>PE50 - 10 atm</v>
      </c>
      <c r="E47" s="31" t="s">
        <v>73</v>
      </c>
    </row>
    <row r="48" spans="1:25" ht="15" x14ac:dyDescent="0.2">
      <c r="A48" s="31">
        <v>8</v>
      </c>
      <c r="B48" s="38" t="s">
        <v>70</v>
      </c>
      <c r="C48" s="35" t="s">
        <v>67</v>
      </c>
      <c r="D48" s="31" t="str">
        <f t="shared" si="5"/>
        <v>PE50 - 16 atm</v>
      </c>
      <c r="E48" s="31" t="s">
        <v>73</v>
      </c>
    </row>
    <row r="49" spans="1:5" ht="15" x14ac:dyDescent="0.2">
      <c r="A49" s="31">
        <v>9</v>
      </c>
      <c r="B49" s="38" t="s">
        <v>69</v>
      </c>
      <c r="C49" s="35" t="s">
        <v>64</v>
      </c>
      <c r="D49" s="31" t="str">
        <f t="shared" si="5"/>
        <v>PE100 - 4 atm</v>
      </c>
      <c r="E49" s="31" t="s">
        <v>73</v>
      </c>
    </row>
    <row r="50" spans="1:5" ht="15" x14ac:dyDescent="0.2">
      <c r="A50" s="31">
        <v>10</v>
      </c>
      <c r="B50" s="38" t="s">
        <v>69</v>
      </c>
      <c r="C50" s="35" t="s">
        <v>65</v>
      </c>
      <c r="D50" s="31" t="str">
        <f t="shared" si="5"/>
        <v>PE100 - 6 atm</v>
      </c>
      <c r="E50" s="31" t="s">
        <v>73</v>
      </c>
    </row>
    <row r="51" spans="1:5" ht="15" x14ac:dyDescent="0.2">
      <c r="A51" s="31">
        <v>11</v>
      </c>
      <c r="B51" s="38" t="s">
        <v>69</v>
      </c>
      <c r="C51" s="35" t="s">
        <v>66</v>
      </c>
      <c r="D51" s="31" t="str">
        <f t="shared" si="5"/>
        <v>PE100 - 10 atm</v>
      </c>
      <c r="E51" s="31" t="s">
        <v>73</v>
      </c>
    </row>
    <row r="52" spans="1:5" ht="15" x14ac:dyDescent="0.2">
      <c r="A52" s="31">
        <v>12</v>
      </c>
      <c r="B52" s="38" t="s">
        <v>69</v>
      </c>
      <c r="C52" s="35" t="s">
        <v>67</v>
      </c>
      <c r="D52" s="31" t="str">
        <f t="shared" si="5"/>
        <v>PE100 - 16 atm</v>
      </c>
      <c r="E52" s="31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5:D12"/>
  <sheetViews>
    <sheetView showGridLines="0" workbookViewId="0">
      <selection activeCell="A5" sqref="A5:D12"/>
    </sheetView>
  </sheetViews>
  <sheetFormatPr baseColWidth="10" defaultRowHeight="15" x14ac:dyDescent="0.25"/>
  <sheetData>
    <row r="5" spans="1:4" x14ac:dyDescent="0.25">
      <c r="B5" s="38" t="s">
        <v>69</v>
      </c>
      <c r="C5" s="38" t="s">
        <v>70</v>
      </c>
      <c r="D5" s="38" t="s">
        <v>71</v>
      </c>
    </row>
    <row r="6" spans="1:4" x14ac:dyDescent="0.25">
      <c r="B6" s="35" t="s">
        <v>65</v>
      </c>
      <c r="C6" s="35" t="s">
        <v>65</v>
      </c>
      <c r="D6" s="35" t="s">
        <v>65</v>
      </c>
    </row>
    <row r="7" spans="1:4" x14ac:dyDescent="0.25">
      <c r="A7" s="37">
        <v>32</v>
      </c>
      <c r="B7" s="143">
        <v>28</v>
      </c>
      <c r="C7" s="143">
        <v>28</v>
      </c>
      <c r="D7" s="33">
        <v>26.2</v>
      </c>
    </row>
    <row r="8" spans="1:4" x14ac:dyDescent="0.25">
      <c r="A8" s="37">
        <v>40</v>
      </c>
      <c r="B8" s="143">
        <v>35.200000000000003</v>
      </c>
      <c r="C8" s="143">
        <v>35.200000000000003</v>
      </c>
      <c r="D8" s="33">
        <v>32.6</v>
      </c>
    </row>
    <row r="9" spans="1:4" x14ac:dyDescent="0.25">
      <c r="A9" s="37">
        <v>50</v>
      </c>
      <c r="B9" s="143">
        <v>44</v>
      </c>
      <c r="C9" s="143">
        <v>44</v>
      </c>
      <c r="D9" s="33">
        <v>40.799999999999997</v>
      </c>
    </row>
    <row r="10" spans="1:4" x14ac:dyDescent="0.25">
      <c r="A10" s="37">
        <v>63</v>
      </c>
      <c r="B10" s="143">
        <v>55.4</v>
      </c>
      <c r="C10" s="143">
        <v>55.4</v>
      </c>
      <c r="D10" s="33">
        <v>51.4</v>
      </c>
    </row>
    <row r="11" spans="1:4" x14ac:dyDescent="0.25">
      <c r="A11" s="37">
        <v>75</v>
      </c>
      <c r="B11" s="143">
        <v>66</v>
      </c>
      <c r="C11" s="143">
        <v>66</v>
      </c>
      <c r="D11" s="33">
        <v>61.4</v>
      </c>
    </row>
    <row r="12" spans="1:4" x14ac:dyDescent="0.25">
      <c r="A12" s="37">
        <v>90</v>
      </c>
      <c r="B12" s="143">
        <v>79.2</v>
      </c>
      <c r="C12" s="143">
        <v>79.2</v>
      </c>
      <c r="D12" s="33">
        <v>73.599999999999994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Y52"/>
  <sheetViews>
    <sheetView showGridLines="0" workbookViewId="0">
      <selection activeCell="G4" sqref="G4"/>
    </sheetView>
  </sheetViews>
  <sheetFormatPr baseColWidth="10" defaultRowHeight="12.75" x14ac:dyDescent="0.2"/>
  <cols>
    <col min="1" max="1" width="11.42578125" style="31"/>
    <col min="2" max="25" width="8.28515625" style="31" customWidth="1"/>
    <col min="26" max="16384" width="11.42578125" style="31"/>
  </cols>
  <sheetData>
    <row r="1" spans="1:25" x14ac:dyDescent="0.2">
      <c r="A1" s="31" t="s">
        <v>75</v>
      </c>
      <c r="C1" s="40">
        <f>calculos!B26</f>
        <v>47.20418328521724</v>
      </c>
      <c r="E1" s="40">
        <f>$C$1</f>
        <v>47.20418328521724</v>
      </c>
      <c r="G1" s="40">
        <f>$C$1</f>
        <v>47.20418328521724</v>
      </c>
      <c r="I1" s="40">
        <f>$C$1</f>
        <v>47.20418328521724</v>
      </c>
      <c r="K1" s="40">
        <f>$C$1</f>
        <v>47.20418328521724</v>
      </c>
      <c r="M1" s="40">
        <f>$C$1</f>
        <v>47.20418328521724</v>
      </c>
      <c r="O1" s="40">
        <f>$C$1</f>
        <v>47.20418328521724</v>
      </c>
      <c r="Q1" s="40">
        <f>$C$1</f>
        <v>47.20418328521724</v>
      </c>
      <c r="S1" s="40">
        <f>$C$1</f>
        <v>47.20418328521724</v>
      </c>
      <c r="U1" s="40">
        <f>$C$1</f>
        <v>47.20418328521724</v>
      </c>
      <c r="W1" s="40">
        <f>$C$1</f>
        <v>47.20418328521724</v>
      </c>
      <c r="Y1" s="40">
        <f>$C$1</f>
        <v>47.20418328521724</v>
      </c>
    </row>
    <row r="2" spans="1:25" x14ac:dyDescent="0.2">
      <c r="A2" s="39">
        <f>calculos!B16</f>
        <v>10</v>
      </c>
      <c r="B2" s="41">
        <v>9</v>
      </c>
      <c r="D2" s="41">
        <v>10</v>
      </c>
      <c r="F2" s="41">
        <v>11</v>
      </c>
      <c r="H2" s="41">
        <v>12</v>
      </c>
      <c r="J2" s="41">
        <v>6</v>
      </c>
      <c r="L2" s="41">
        <v>7</v>
      </c>
      <c r="N2" s="41">
        <v>8</v>
      </c>
      <c r="P2" s="41">
        <v>1</v>
      </c>
      <c r="R2" s="41">
        <v>2</v>
      </c>
      <c r="T2" s="41">
        <v>3</v>
      </c>
      <c r="V2" s="41">
        <v>4</v>
      </c>
      <c r="X2" s="41">
        <v>5</v>
      </c>
    </row>
    <row r="3" spans="1:25" x14ac:dyDescent="0.2">
      <c r="A3" s="39"/>
      <c r="B3" s="45"/>
      <c r="C3" s="43">
        <v>2</v>
      </c>
      <c r="D3" s="45"/>
      <c r="E3" s="43">
        <v>4</v>
      </c>
      <c r="F3" s="45"/>
      <c r="G3" s="41">
        <v>6</v>
      </c>
      <c r="H3" s="45"/>
      <c r="I3" s="41">
        <v>8</v>
      </c>
      <c r="J3" s="45"/>
      <c r="K3" s="41">
        <v>10</v>
      </c>
      <c r="L3" s="45"/>
      <c r="M3" s="41">
        <v>12</v>
      </c>
      <c r="N3" s="45"/>
      <c r="O3" s="41">
        <v>14</v>
      </c>
      <c r="P3" s="45"/>
      <c r="Q3" s="41">
        <v>16</v>
      </c>
      <c r="R3" s="45"/>
      <c r="S3" s="41">
        <v>18</v>
      </c>
      <c r="T3" s="45"/>
      <c r="U3" s="41">
        <v>20</v>
      </c>
      <c r="V3" s="45"/>
      <c r="W3" s="41">
        <v>22</v>
      </c>
      <c r="X3" s="45"/>
      <c r="Y3" s="41">
        <v>24</v>
      </c>
    </row>
    <row r="4" spans="1:25" ht="15" x14ac:dyDescent="0.25">
      <c r="B4" s="31" t="str">
        <f>CONCATENATE(B6,$E$41,B7,$E$41,"Dn",C7)</f>
        <v>PE100 - 4 atm - Dn63</v>
      </c>
      <c r="C4"/>
      <c r="D4" s="31" t="str">
        <f>CONCATENATE(D6,$E$41,D7,$E$41,"Dn",E7)</f>
        <v>PE100 - 6 atm - Dn63</v>
      </c>
      <c r="F4" s="31" t="str">
        <f>CONCATENATE(F6,$E$41,F7,$E$41,"Dn",G7)</f>
        <v>PE100 - 10 atm - Dn63</v>
      </c>
      <c r="H4" s="31" t="str">
        <f>CONCATENATE(H6,$E$41,H7,$E$41,"Dn",I7)</f>
        <v>PE100 - 16 atm - Dn75</v>
      </c>
      <c r="J4" s="31" t="str">
        <f>CONCATENATE(J6,$E$41,J7,$E$41,"Dn",K7)</f>
        <v>PE50 - 6 atm - Dn63</v>
      </c>
      <c r="L4" s="31" t="str">
        <f>CONCATENATE(L6,$E$41,L7,$E$41,"Dn",M7)</f>
        <v>PE50 - 10 atm - Dn63</v>
      </c>
      <c r="N4" s="31" t="str">
        <f>CONCATENATE(N6,$E$41,N7,$E$41,"Dn",O7)</f>
        <v>PE50 - 16 atm - Dn75</v>
      </c>
      <c r="P4" s="31" t="str">
        <f>CONCATENATE(P6,$E$41,P7,$E$41,"Dn",Q7)</f>
        <v>PE32 - 2,5 atm - Dn0</v>
      </c>
      <c r="R4" s="31" t="str">
        <f>CONCATENATE(R6,$E$41,R7,$E$41,"Dn",S7)</f>
        <v>PE32 - 4 atm - Dn63</v>
      </c>
      <c r="T4" s="31" t="str">
        <f>CONCATENATE(T6,$E$41,T7,$E$41,"Dn",U7)</f>
        <v>PE32 - 6 atm - Dn63</v>
      </c>
      <c r="V4" s="31" t="str">
        <f>CONCATENATE(V6,$E$41,V7,$E$41,"Dn",W7)</f>
        <v>PE32 - 10 atm - Dn75</v>
      </c>
      <c r="X4" s="31" t="str">
        <f>CONCATENATE(X6,$E$41,X7,$E$41,"Dn",Y7)</f>
        <v>PE32 - 16 atm - Dn0</v>
      </c>
    </row>
    <row r="5" spans="1:25" ht="15" x14ac:dyDescent="0.25">
      <c r="B5" s="44">
        <f>VLOOKUP(C7,$A$8:$Y$37,C3,0)</f>
        <v>58.2</v>
      </c>
      <c r="C5"/>
      <c r="D5" s="44">
        <f>VLOOKUP(E7,$A$8:$Y$37,E3,0)</f>
        <v>55.4</v>
      </c>
      <c r="F5" s="44">
        <f>VLOOKUP(G7,$A$8:$Y$37,G3,0)</f>
        <v>51.4</v>
      </c>
      <c r="H5" s="44">
        <f>VLOOKUP(I7,$A$8:$Y$37,I3,0)</f>
        <v>54.4</v>
      </c>
      <c r="J5" s="44">
        <f>VLOOKUP(K7,$A$8:$Y$37,K3,0)</f>
        <v>55.4</v>
      </c>
      <c r="L5" s="44">
        <f>VLOOKUP(M7,$A$8:$Y$37,M3,0)</f>
        <v>51.4</v>
      </c>
      <c r="N5" s="44">
        <f>VLOOKUP(O7,$A$8:$Y$37,O3,0)</f>
        <v>54.4</v>
      </c>
      <c r="P5" s="44" t="e">
        <f>VLOOKUP(Q7,$A$8:$Y$37,Q3,0)</f>
        <v>#N/A</v>
      </c>
      <c r="R5" s="44">
        <f>VLOOKUP(S7,$A$8:$Y$37,S3,0)</f>
        <v>55.4</v>
      </c>
      <c r="T5" s="44">
        <f>VLOOKUP(U7,$A$8:$Y$37,U3,0)</f>
        <v>51.4</v>
      </c>
      <c r="V5" s="44">
        <f>VLOOKUP(W7,$A$8:$Y$37,W3,0)</f>
        <v>54.4</v>
      </c>
      <c r="X5" s="44" t="e">
        <f>VLOOKUP(Y7,$A$8:$Y$37,Y3,0)</f>
        <v>#N/A</v>
      </c>
    </row>
    <row r="6" spans="1:25" x14ac:dyDescent="0.2">
      <c r="B6" s="38" t="s">
        <v>69</v>
      </c>
      <c r="D6" s="38" t="s">
        <v>69</v>
      </c>
      <c r="F6" s="38" t="s">
        <v>69</v>
      </c>
      <c r="H6" s="38" t="s">
        <v>69</v>
      </c>
      <c r="J6" s="38" t="s">
        <v>70</v>
      </c>
      <c r="L6" s="38" t="s">
        <v>70</v>
      </c>
      <c r="N6" s="38" t="s">
        <v>70</v>
      </c>
      <c r="P6" s="38" t="s">
        <v>71</v>
      </c>
      <c r="R6" s="38" t="s">
        <v>71</v>
      </c>
      <c r="T6" s="38" t="s">
        <v>71</v>
      </c>
      <c r="V6" s="38" t="s">
        <v>71</v>
      </c>
      <c r="X6" s="38" t="s">
        <v>71</v>
      </c>
    </row>
    <row r="7" spans="1:25" ht="15" x14ac:dyDescent="0.2">
      <c r="A7" s="36" t="s">
        <v>29</v>
      </c>
      <c r="B7" s="35" t="s">
        <v>64</v>
      </c>
      <c r="C7" s="35">
        <f>C38</f>
        <v>63</v>
      </c>
      <c r="D7" s="35" t="s">
        <v>65</v>
      </c>
      <c r="E7" s="35">
        <f>E38</f>
        <v>63</v>
      </c>
      <c r="F7" s="35" t="s">
        <v>66</v>
      </c>
      <c r="G7" s="35">
        <f>G38</f>
        <v>63</v>
      </c>
      <c r="H7" s="35" t="s">
        <v>67</v>
      </c>
      <c r="I7" s="35">
        <f>I38</f>
        <v>75</v>
      </c>
      <c r="J7" s="35" t="s">
        <v>65</v>
      </c>
      <c r="K7" s="35">
        <f>K38</f>
        <v>63</v>
      </c>
      <c r="L7" s="35" t="s">
        <v>66</v>
      </c>
      <c r="M7" s="35">
        <f>M38</f>
        <v>63</v>
      </c>
      <c r="N7" s="35" t="s">
        <v>67</v>
      </c>
      <c r="O7" s="35">
        <f>O38</f>
        <v>75</v>
      </c>
      <c r="P7" s="35" t="s">
        <v>68</v>
      </c>
      <c r="Q7" s="35">
        <f>Q38</f>
        <v>0</v>
      </c>
      <c r="R7" s="35" t="s">
        <v>64</v>
      </c>
      <c r="S7" s="35">
        <f>S38</f>
        <v>63</v>
      </c>
      <c r="T7" s="35" t="s">
        <v>65</v>
      </c>
      <c r="U7" s="35">
        <f>U38</f>
        <v>63</v>
      </c>
      <c r="V7" s="35" t="s">
        <v>66</v>
      </c>
      <c r="W7" s="35">
        <f>W38</f>
        <v>75</v>
      </c>
      <c r="X7" s="35" t="s">
        <v>67</v>
      </c>
      <c r="Y7" s="35">
        <f>Y38</f>
        <v>0</v>
      </c>
    </row>
    <row r="8" spans="1:25" ht="15" x14ac:dyDescent="0.25">
      <c r="A8" s="37">
        <v>16</v>
      </c>
      <c r="B8" s="33">
        <v>14</v>
      </c>
      <c r="C8">
        <f>IF(AND($C$1&gt;B8,$C$1&lt;B9),$B9,0)</f>
        <v>0</v>
      </c>
      <c r="D8" s="33">
        <v>13.6</v>
      </c>
      <c r="E8">
        <f>IF(AND($C$1&gt;D8,$C$1&lt;D9),$A9,0)</f>
        <v>0</v>
      </c>
      <c r="F8" s="33">
        <v>12</v>
      </c>
      <c r="G8">
        <f>IF(AND($C$1&gt;F8,$C$1&lt;F9),$A9,0)</f>
        <v>0</v>
      </c>
      <c r="H8" s="33">
        <v>11.6</v>
      </c>
      <c r="I8">
        <f>IF(AND($C$1&gt;H8,$C$1&lt;H9),$A9,0)</f>
        <v>0</v>
      </c>
      <c r="J8" s="34"/>
      <c r="K8">
        <f>IF(AND($C$1&gt;J8,$C$1&lt;J9),$A9,0)</f>
        <v>0</v>
      </c>
      <c r="L8" s="34"/>
      <c r="M8">
        <f>IF(AND($C$1&gt;L8,$C$1&lt;L9),$A9,0)</f>
        <v>0</v>
      </c>
      <c r="N8" s="34"/>
      <c r="O8">
        <f>IF(AND($C$1&gt;N8,$C$1&lt;N9),$A9,0)</f>
        <v>0</v>
      </c>
      <c r="P8" s="33">
        <v>13.6</v>
      </c>
      <c r="Q8">
        <f>IF(AND($C$1&gt;P8,$C$1&lt;P9),$A9,0)</f>
        <v>0</v>
      </c>
      <c r="R8" s="33">
        <v>12.8</v>
      </c>
      <c r="S8">
        <f>IF(AND($C$1&gt;R8,$C$1&lt;R9),$A9,0)</f>
        <v>0</v>
      </c>
      <c r="T8" s="33">
        <v>12</v>
      </c>
      <c r="U8">
        <f>IF(AND($C$1&gt;T8,$C$1&lt;T9),$A9,0)</f>
        <v>0</v>
      </c>
      <c r="V8" s="33">
        <v>11.6</v>
      </c>
      <c r="W8">
        <f>IF(AND($C$1&gt;V8,$C$1&lt;V9),$A9,0)</f>
        <v>0</v>
      </c>
      <c r="X8" s="33">
        <v>9.6</v>
      </c>
      <c r="Y8">
        <f>IF(AND($C$1&gt;X8,$C$1&lt;X9),$A9,0)</f>
        <v>0</v>
      </c>
    </row>
    <row r="9" spans="1:25" ht="15" x14ac:dyDescent="0.25">
      <c r="A9" s="37">
        <v>20</v>
      </c>
      <c r="B9" s="33">
        <v>17.8</v>
      </c>
      <c r="C9">
        <f t="shared" ref="C9:C37" si="0">IF(AND($C$1&gt;B9,$C$1&lt;B10),$A10,0)</f>
        <v>0</v>
      </c>
      <c r="D9" s="33">
        <v>17.2</v>
      </c>
      <c r="E9">
        <f t="shared" ref="E9:U24" si="1">IF(AND($C$1&gt;D9,$C$1&lt;D10),$A10,0)</f>
        <v>0</v>
      </c>
      <c r="F9" s="33">
        <v>16</v>
      </c>
      <c r="G9">
        <f t="shared" si="1"/>
        <v>0</v>
      </c>
      <c r="H9" s="33">
        <v>14.4</v>
      </c>
      <c r="I9">
        <f t="shared" si="1"/>
        <v>0</v>
      </c>
      <c r="J9" s="34"/>
      <c r="K9">
        <f t="shared" si="1"/>
        <v>0</v>
      </c>
      <c r="L9" s="33">
        <v>16</v>
      </c>
      <c r="M9">
        <f t="shared" si="1"/>
        <v>0</v>
      </c>
      <c r="N9" s="33">
        <v>14.4</v>
      </c>
      <c r="O9">
        <f t="shared" si="1"/>
        <v>0</v>
      </c>
      <c r="P9" s="33">
        <v>17.2</v>
      </c>
      <c r="Q9">
        <f t="shared" si="1"/>
        <v>0</v>
      </c>
      <c r="R9" s="33">
        <v>16.600000000000001</v>
      </c>
      <c r="S9">
        <f t="shared" si="1"/>
        <v>0</v>
      </c>
      <c r="T9" s="33">
        <v>16</v>
      </c>
      <c r="U9">
        <f t="shared" si="1"/>
        <v>0</v>
      </c>
      <c r="V9" s="33">
        <v>14.4</v>
      </c>
      <c r="W9">
        <f t="shared" ref="W9:W37" si="2">IF(AND($C$1&gt;V9,$C$1&lt;V10),$A10,0)</f>
        <v>0</v>
      </c>
      <c r="X9" s="33">
        <v>12</v>
      </c>
      <c r="Y9">
        <f t="shared" ref="Y9:Y37" si="3">IF(AND($C$1&gt;X9,$C$1&lt;X10),$A10,0)</f>
        <v>0</v>
      </c>
    </row>
    <row r="10" spans="1:25" ht="15" x14ac:dyDescent="0.25">
      <c r="A10" s="37">
        <v>25</v>
      </c>
      <c r="B10" s="33">
        <v>22.4</v>
      </c>
      <c r="C10">
        <f t="shared" si="0"/>
        <v>0</v>
      </c>
      <c r="D10" s="33">
        <v>21</v>
      </c>
      <c r="E10">
        <f t="shared" si="1"/>
        <v>0</v>
      </c>
      <c r="F10" s="33">
        <v>20.399999999999999</v>
      </c>
      <c r="G10">
        <f t="shared" si="1"/>
        <v>0</v>
      </c>
      <c r="H10" s="33">
        <v>18</v>
      </c>
      <c r="I10">
        <f t="shared" si="1"/>
        <v>0</v>
      </c>
      <c r="J10" s="33">
        <v>21</v>
      </c>
      <c r="K10">
        <f t="shared" si="1"/>
        <v>0</v>
      </c>
      <c r="L10" s="33">
        <v>20.399999999999999</v>
      </c>
      <c r="M10">
        <f t="shared" si="1"/>
        <v>0</v>
      </c>
      <c r="N10" s="33">
        <v>18</v>
      </c>
      <c r="O10">
        <f t="shared" si="1"/>
        <v>0</v>
      </c>
      <c r="P10" s="33">
        <v>21.8</v>
      </c>
      <c r="Q10">
        <f t="shared" si="1"/>
        <v>0</v>
      </c>
      <c r="R10" s="33">
        <v>21</v>
      </c>
      <c r="S10">
        <f t="shared" si="1"/>
        <v>0</v>
      </c>
      <c r="T10" s="33">
        <v>20.399999999999999</v>
      </c>
      <c r="U10">
        <f t="shared" si="1"/>
        <v>0</v>
      </c>
      <c r="V10" s="33">
        <v>18</v>
      </c>
      <c r="W10">
        <f t="shared" si="2"/>
        <v>0</v>
      </c>
      <c r="X10" s="33">
        <v>15</v>
      </c>
      <c r="Y10">
        <f t="shared" si="3"/>
        <v>0</v>
      </c>
    </row>
    <row r="11" spans="1:25" ht="15" x14ac:dyDescent="0.25">
      <c r="A11" s="37">
        <v>32</v>
      </c>
      <c r="B11" s="33">
        <v>29</v>
      </c>
      <c r="C11">
        <f t="shared" si="0"/>
        <v>0</v>
      </c>
      <c r="D11" s="33">
        <v>28</v>
      </c>
      <c r="E11">
        <f t="shared" si="1"/>
        <v>0</v>
      </c>
      <c r="F11" s="33">
        <v>26.2</v>
      </c>
      <c r="G11">
        <f t="shared" si="1"/>
        <v>0</v>
      </c>
      <c r="H11" s="33">
        <v>23.2</v>
      </c>
      <c r="I11">
        <f t="shared" si="1"/>
        <v>0</v>
      </c>
      <c r="J11" s="33">
        <v>28</v>
      </c>
      <c r="K11">
        <f t="shared" si="1"/>
        <v>0</v>
      </c>
      <c r="L11" s="33">
        <v>26.2</v>
      </c>
      <c r="M11">
        <f t="shared" si="1"/>
        <v>0</v>
      </c>
      <c r="N11" s="33">
        <v>23.2</v>
      </c>
      <c r="O11">
        <f t="shared" si="1"/>
        <v>0</v>
      </c>
      <c r="P11" s="33">
        <v>28.4</v>
      </c>
      <c r="Q11">
        <f t="shared" si="1"/>
        <v>0</v>
      </c>
      <c r="R11" s="33">
        <v>28</v>
      </c>
      <c r="S11">
        <f t="shared" si="1"/>
        <v>0</v>
      </c>
      <c r="T11" s="33">
        <v>26.2</v>
      </c>
      <c r="U11">
        <f t="shared" si="1"/>
        <v>0</v>
      </c>
      <c r="V11" s="33">
        <v>23.2</v>
      </c>
      <c r="W11">
        <f t="shared" si="2"/>
        <v>0</v>
      </c>
      <c r="X11" s="33">
        <v>19.2</v>
      </c>
      <c r="Y11">
        <f t="shared" si="3"/>
        <v>0</v>
      </c>
    </row>
    <row r="12" spans="1:25" ht="15" x14ac:dyDescent="0.25">
      <c r="A12" s="37">
        <v>40</v>
      </c>
      <c r="B12" s="33">
        <v>36</v>
      </c>
      <c r="C12">
        <f t="shared" si="0"/>
        <v>0</v>
      </c>
      <c r="D12" s="33">
        <v>35.200000000000003</v>
      </c>
      <c r="E12">
        <f t="shared" si="1"/>
        <v>0</v>
      </c>
      <c r="F12" s="33">
        <v>32.6</v>
      </c>
      <c r="G12">
        <f t="shared" si="1"/>
        <v>0</v>
      </c>
      <c r="H12" s="33">
        <v>29</v>
      </c>
      <c r="I12">
        <f t="shared" si="1"/>
        <v>0</v>
      </c>
      <c r="J12" s="33">
        <v>35.200000000000003</v>
      </c>
      <c r="K12">
        <f t="shared" si="1"/>
        <v>0</v>
      </c>
      <c r="L12" s="33">
        <v>32.6</v>
      </c>
      <c r="M12">
        <f t="shared" si="1"/>
        <v>0</v>
      </c>
      <c r="N12" s="33">
        <v>29</v>
      </c>
      <c r="O12">
        <f t="shared" si="1"/>
        <v>0</v>
      </c>
      <c r="P12" s="34"/>
      <c r="Q12">
        <f t="shared" si="1"/>
        <v>0</v>
      </c>
      <c r="R12" s="33">
        <v>35.200000000000003</v>
      </c>
      <c r="S12">
        <f t="shared" si="1"/>
        <v>0</v>
      </c>
      <c r="T12" s="33">
        <v>32.6</v>
      </c>
      <c r="U12">
        <f t="shared" si="1"/>
        <v>0</v>
      </c>
      <c r="V12" s="33">
        <v>29</v>
      </c>
      <c r="W12">
        <f t="shared" si="2"/>
        <v>0</v>
      </c>
      <c r="X12" s="33">
        <v>24</v>
      </c>
      <c r="Y12">
        <f t="shared" si="3"/>
        <v>0</v>
      </c>
    </row>
    <row r="13" spans="1:25" ht="15" x14ac:dyDescent="0.25">
      <c r="A13" s="37">
        <v>50</v>
      </c>
      <c r="B13" s="33">
        <v>46</v>
      </c>
      <c r="C13">
        <f t="shared" si="0"/>
        <v>63</v>
      </c>
      <c r="D13" s="33">
        <v>44</v>
      </c>
      <c r="E13">
        <f t="shared" si="1"/>
        <v>63</v>
      </c>
      <c r="F13" s="33">
        <v>40.799999999999997</v>
      </c>
      <c r="G13">
        <f t="shared" si="1"/>
        <v>63</v>
      </c>
      <c r="H13" s="33">
        <v>36.200000000000003</v>
      </c>
      <c r="I13">
        <f t="shared" si="1"/>
        <v>0</v>
      </c>
      <c r="J13" s="33">
        <v>44</v>
      </c>
      <c r="K13">
        <f t="shared" si="1"/>
        <v>63</v>
      </c>
      <c r="L13" s="33">
        <v>40.799999999999997</v>
      </c>
      <c r="M13">
        <f t="shared" si="1"/>
        <v>63</v>
      </c>
      <c r="N13" s="33">
        <v>36.200000000000003</v>
      </c>
      <c r="O13">
        <f t="shared" si="1"/>
        <v>0</v>
      </c>
      <c r="P13" s="34"/>
      <c r="Q13">
        <f t="shared" si="1"/>
        <v>0</v>
      </c>
      <c r="R13" s="33">
        <v>44</v>
      </c>
      <c r="S13">
        <f t="shared" si="1"/>
        <v>63</v>
      </c>
      <c r="T13" s="33">
        <v>40.799999999999997</v>
      </c>
      <c r="U13">
        <f t="shared" si="1"/>
        <v>63</v>
      </c>
      <c r="V13" s="33">
        <v>36.200000000000003</v>
      </c>
      <c r="W13">
        <f t="shared" si="2"/>
        <v>0</v>
      </c>
      <c r="X13" s="33">
        <v>30</v>
      </c>
      <c r="Y13">
        <f t="shared" si="3"/>
        <v>0</v>
      </c>
    </row>
    <row r="14" spans="1:25" ht="15" x14ac:dyDescent="0.25">
      <c r="A14" s="37">
        <v>63</v>
      </c>
      <c r="B14" s="33">
        <v>58.2</v>
      </c>
      <c r="C14">
        <f t="shared" si="0"/>
        <v>0</v>
      </c>
      <c r="D14" s="33">
        <v>55.4</v>
      </c>
      <c r="E14">
        <f t="shared" si="1"/>
        <v>0</v>
      </c>
      <c r="F14" s="33">
        <v>51.4</v>
      </c>
      <c r="G14">
        <f t="shared" si="1"/>
        <v>0</v>
      </c>
      <c r="H14" s="33">
        <v>45.8</v>
      </c>
      <c r="I14">
        <f t="shared" si="1"/>
        <v>75</v>
      </c>
      <c r="J14" s="33">
        <v>55.4</v>
      </c>
      <c r="K14">
        <f t="shared" si="1"/>
        <v>0</v>
      </c>
      <c r="L14" s="33">
        <v>51.4</v>
      </c>
      <c r="M14">
        <f t="shared" si="1"/>
        <v>0</v>
      </c>
      <c r="N14" s="33">
        <v>45.8</v>
      </c>
      <c r="O14">
        <f t="shared" si="1"/>
        <v>75</v>
      </c>
      <c r="P14" s="34"/>
      <c r="Q14">
        <f t="shared" si="1"/>
        <v>0</v>
      </c>
      <c r="R14" s="33">
        <v>55.4</v>
      </c>
      <c r="S14">
        <f t="shared" si="1"/>
        <v>0</v>
      </c>
      <c r="T14" s="33">
        <v>51.4</v>
      </c>
      <c r="U14">
        <f t="shared" si="1"/>
        <v>0</v>
      </c>
      <c r="V14" s="33">
        <v>45.8</v>
      </c>
      <c r="W14">
        <f t="shared" si="2"/>
        <v>75</v>
      </c>
      <c r="X14" s="33">
        <v>37.799999999999997</v>
      </c>
      <c r="Y14">
        <f t="shared" si="3"/>
        <v>0</v>
      </c>
    </row>
    <row r="15" spans="1:25" ht="15" x14ac:dyDescent="0.25">
      <c r="A15" s="37">
        <v>75</v>
      </c>
      <c r="B15" s="33">
        <v>69.2</v>
      </c>
      <c r="C15">
        <f t="shared" si="0"/>
        <v>0</v>
      </c>
      <c r="D15" s="33">
        <v>66</v>
      </c>
      <c r="E15">
        <f t="shared" si="1"/>
        <v>0</v>
      </c>
      <c r="F15" s="33">
        <v>61.4</v>
      </c>
      <c r="G15">
        <f t="shared" si="1"/>
        <v>0</v>
      </c>
      <c r="H15" s="33">
        <v>54.4</v>
      </c>
      <c r="I15">
        <f t="shared" si="1"/>
        <v>0</v>
      </c>
      <c r="J15" s="33">
        <v>66</v>
      </c>
      <c r="K15">
        <f t="shared" si="1"/>
        <v>0</v>
      </c>
      <c r="L15" s="33">
        <v>61.4</v>
      </c>
      <c r="M15">
        <f t="shared" si="1"/>
        <v>0</v>
      </c>
      <c r="N15" s="33">
        <v>54.4</v>
      </c>
      <c r="O15">
        <f t="shared" si="1"/>
        <v>0</v>
      </c>
      <c r="P15" s="34"/>
      <c r="Q15">
        <f t="shared" si="1"/>
        <v>0</v>
      </c>
      <c r="R15" s="33">
        <v>66</v>
      </c>
      <c r="S15">
        <f t="shared" si="1"/>
        <v>0</v>
      </c>
      <c r="T15" s="33">
        <v>61.4</v>
      </c>
      <c r="U15">
        <f t="shared" si="1"/>
        <v>0</v>
      </c>
      <c r="V15" s="33">
        <v>54.4</v>
      </c>
      <c r="W15">
        <f t="shared" si="2"/>
        <v>0</v>
      </c>
      <c r="X15" s="33">
        <v>45</v>
      </c>
      <c r="Y15">
        <f t="shared" si="3"/>
        <v>0</v>
      </c>
    </row>
    <row r="16" spans="1:25" ht="15" x14ac:dyDescent="0.25">
      <c r="A16" s="37">
        <v>90</v>
      </c>
      <c r="B16" s="33">
        <v>83</v>
      </c>
      <c r="C16">
        <f t="shared" si="0"/>
        <v>0</v>
      </c>
      <c r="D16" s="33">
        <v>79.2</v>
      </c>
      <c r="E16">
        <f t="shared" si="1"/>
        <v>0</v>
      </c>
      <c r="F16" s="33">
        <v>73.599999999999994</v>
      </c>
      <c r="G16">
        <f t="shared" si="1"/>
        <v>0</v>
      </c>
      <c r="H16" s="33">
        <v>65.2</v>
      </c>
      <c r="I16">
        <f t="shared" si="1"/>
        <v>0</v>
      </c>
      <c r="J16" s="33">
        <v>79.2</v>
      </c>
      <c r="K16">
        <f t="shared" si="1"/>
        <v>0</v>
      </c>
      <c r="L16" s="33">
        <v>73.599999999999994</v>
      </c>
      <c r="M16">
        <f t="shared" si="1"/>
        <v>0</v>
      </c>
      <c r="N16" s="33">
        <v>65.2</v>
      </c>
      <c r="O16">
        <f t="shared" si="1"/>
        <v>0</v>
      </c>
      <c r="P16" s="34"/>
      <c r="Q16">
        <f t="shared" si="1"/>
        <v>0</v>
      </c>
      <c r="R16" s="33">
        <v>79.2</v>
      </c>
      <c r="S16">
        <f t="shared" si="1"/>
        <v>0</v>
      </c>
      <c r="T16" s="33">
        <v>73.599999999999994</v>
      </c>
      <c r="U16">
        <f t="shared" si="1"/>
        <v>0</v>
      </c>
      <c r="V16" s="33">
        <v>65.400000000000006</v>
      </c>
      <c r="W16">
        <f t="shared" si="2"/>
        <v>0</v>
      </c>
      <c r="X16" s="34"/>
      <c r="Y16">
        <f t="shared" si="3"/>
        <v>0</v>
      </c>
    </row>
    <row r="17" spans="1:25" ht="15" x14ac:dyDescent="0.25">
      <c r="A17" s="37">
        <v>110</v>
      </c>
      <c r="B17" s="33">
        <v>101.6</v>
      </c>
      <c r="C17">
        <f t="shared" si="0"/>
        <v>0</v>
      </c>
      <c r="D17" s="33">
        <v>96.8</v>
      </c>
      <c r="E17">
        <f t="shared" si="1"/>
        <v>0</v>
      </c>
      <c r="F17" s="33">
        <v>90</v>
      </c>
      <c r="G17">
        <f t="shared" si="1"/>
        <v>0</v>
      </c>
      <c r="H17" s="33">
        <v>79.599999999999994</v>
      </c>
      <c r="I17">
        <f t="shared" si="1"/>
        <v>0</v>
      </c>
      <c r="J17" s="34"/>
      <c r="K17">
        <f t="shared" si="1"/>
        <v>0</v>
      </c>
      <c r="L17" s="34"/>
      <c r="M17">
        <f t="shared" si="1"/>
        <v>0</v>
      </c>
      <c r="N17" s="34"/>
      <c r="O17">
        <f t="shared" si="1"/>
        <v>0</v>
      </c>
      <c r="P17" s="34"/>
      <c r="Q17">
        <f t="shared" si="1"/>
        <v>0</v>
      </c>
      <c r="R17" s="33">
        <v>96.8</v>
      </c>
      <c r="S17">
        <f t="shared" si="1"/>
        <v>0</v>
      </c>
      <c r="T17" s="33">
        <v>90</v>
      </c>
      <c r="U17">
        <f t="shared" si="1"/>
        <v>0</v>
      </c>
      <c r="V17" s="33">
        <v>79.8</v>
      </c>
      <c r="W17">
        <f t="shared" si="2"/>
        <v>0</v>
      </c>
      <c r="X17" s="34"/>
      <c r="Y17">
        <f t="shared" si="3"/>
        <v>0</v>
      </c>
    </row>
    <row r="18" spans="1:25" ht="15" x14ac:dyDescent="0.25">
      <c r="A18" s="37">
        <v>125</v>
      </c>
      <c r="B18" s="33">
        <v>115.4</v>
      </c>
      <c r="C18">
        <f t="shared" si="0"/>
        <v>0</v>
      </c>
      <c r="D18" s="33">
        <v>110.2</v>
      </c>
      <c r="E18">
        <f t="shared" si="1"/>
        <v>0</v>
      </c>
      <c r="F18" s="33">
        <v>102.2</v>
      </c>
      <c r="G18">
        <f t="shared" si="1"/>
        <v>0</v>
      </c>
      <c r="H18" s="34"/>
      <c r="I18">
        <f t="shared" si="1"/>
        <v>0</v>
      </c>
      <c r="J18" s="34"/>
      <c r="K18">
        <f t="shared" si="1"/>
        <v>0</v>
      </c>
      <c r="L18" s="34"/>
      <c r="M18">
        <f t="shared" si="1"/>
        <v>0</v>
      </c>
      <c r="N18" s="34"/>
      <c r="O18">
        <f t="shared" si="1"/>
        <v>0</v>
      </c>
      <c r="P18" s="34"/>
      <c r="Q18">
        <f t="shared" si="1"/>
        <v>0</v>
      </c>
      <c r="R18" s="33">
        <v>110.2</v>
      </c>
      <c r="S18">
        <f t="shared" si="1"/>
        <v>0</v>
      </c>
      <c r="T18" s="33">
        <v>102.2</v>
      </c>
      <c r="U18">
        <f t="shared" si="1"/>
        <v>0</v>
      </c>
      <c r="V18" s="33">
        <v>90.8</v>
      </c>
      <c r="W18">
        <f t="shared" si="2"/>
        <v>0</v>
      </c>
      <c r="X18" s="34"/>
      <c r="Y18">
        <f t="shared" si="3"/>
        <v>0</v>
      </c>
    </row>
    <row r="19" spans="1:25" ht="15" x14ac:dyDescent="0.25">
      <c r="A19" s="37">
        <v>140</v>
      </c>
      <c r="B19" s="33">
        <v>129.19999999999999</v>
      </c>
      <c r="C19">
        <f t="shared" si="0"/>
        <v>0</v>
      </c>
      <c r="D19" s="33">
        <v>123.4</v>
      </c>
      <c r="E19">
        <f t="shared" si="1"/>
        <v>0</v>
      </c>
      <c r="F19" s="33">
        <v>114.6</v>
      </c>
      <c r="G19">
        <f t="shared" si="1"/>
        <v>0</v>
      </c>
      <c r="H19" s="34"/>
      <c r="I19">
        <f t="shared" si="1"/>
        <v>0</v>
      </c>
      <c r="J19" s="34"/>
      <c r="K19">
        <f t="shared" si="1"/>
        <v>0</v>
      </c>
      <c r="L19" s="34"/>
      <c r="M19">
        <f t="shared" si="1"/>
        <v>0</v>
      </c>
      <c r="N19" s="34"/>
      <c r="O19">
        <f t="shared" si="1"/>
        <v>0</v>
      </c>
      <c r="P19" s="34"/>
      <c r="Q19">
        <f t="shared" si="1"/>
        <v>0</v>
      </c>
      <c r="R19" s="33">
        <v>123.4</v>
      </c>
      <c r="S19">
        <f t="shared" si="1"/>
        <v>0</v>
      </c>
      <c r="T19" s="33">
        <v>114.6</v>
      </c>
      <c r="U19">
        <f t="shared" si="1"/>
        <v>0</v>
      </c>
      <c r="V19" s="33">
        <v>101.6</v>
      </c>
      <c r="W19">
        <f t="shared" si="2"/>
        <v>0</v>
      </c>
      <c r="X19" s="34"/>
      <c r="Y19">
        <f t="shared" si="3"/>
        <v>0</v>
      </c>
    </row>
    <row r="20" spans="1:25" ht="15" x14ac:dyDescent="0.25">
      <c r="A20" s="37">
        <v>160</v>
      </c>
      <c r="B20" s="33">
        <v>147.6</v>
      </c>
      <c r="C20">
        <f t="shared" si="0"/>
        <v>0</v>
      </c>
      <c r="D20" s="33">
        <v>141</v>
      </c>
      <c r="E20">
        <f t="shared" si="1"/>
        <v>0</v>
      </c>
      <c r="F20" s="33">
        <v>130.6</v>
      </c>
      <c r="G20">
        <f t="shared" si="1"/>
        <v>0</v>
      </c>
      <c r="H20" s="34"/>
      <c r="I20">
        <f t="shared" si="1"/>
        <v>0</v>
      </c>
      <c r="J20" s="34"/>
      <c r="K20">
        <f t="shared" si="1"/>
        <v>0</v>
      </c>
      <c r="L20" s="34"/>
      <c r="M20">
        <f t="shared" si="1"/>
        <v>0</v>
      </c>
      <c r="N20" s="34"/>
      <c r="O20">
        <f t="shared" si="1"/>
        <v>0</v>
      </c>
      <c r="P20" s="34"/>
      <c r="Q20">
        <f t="shared" si="1"/>
        <v>0</v>
      </c>
      <c r="R20" s="33">
        <v>141</v>
      </c>
      <c r="S20">
        <f t="shared" si="1"/>
        <v>0</v>
      </c>
      <c r="T20" s="33">
        <v>130.80000000000001</v>
      </c>
      <c r="U20">
        <f t="shared" si="1"/>
        <v>0</v>
      </c>
      <c r="V20" s="33">
        <v>116.2</v>
      </c>
      <c r="W20">
        <f t="shared" si="2"/>
        <v>0</v>
      </c>
      <c r="X20" s="34"/>
      <c r="Y20">
        <f t="shared" si="3"/>
        <v>0</v>
      </c>
    </row>
    <row r="21" spans="1:25" ht="15" x14ac:dyDescent="0.25">
      <c r="A21" s="37">
        <v>180</v>
      </c>
      <c r="B21" s="33">
        <v>166.2</v>
      </c>
      <c r="C21">
        <f t="shared" si="0"/>
        <v>0</v>
      </c>
      <c r="D21" s="33">
        <v>158.6</v>
      </c>
      <c r="E21">
        <f t="shared" si="1"/>
        <v>0</v>
      </c>
      <c r="F21" s="33">
        <v>147.19999999999999</v>
      </c>
      <c r="G21">
        <f t="shared" si="1"/>
        <v>0</v>
      </c>
      <c r="H21" s="34"/>
      <c r="I21">
        <f t="shared" si="1"/>
        <v>0</v>
      </c>
      <c r="J21" s="34"/>
      <c r="K21">
        <f t="shared" si="1"/>
        <v>0</v>
      </c>
      <c r="L21" s="34"/>
      <c r="M21">
        <f t="shared" si="1"/>
        <v>0</v>
      </c>
      <c r="N21" s="34"/>
      <c r="O21">
        <f t="shared" si="1"/>
        <v>0</v>
      </c>
      <c r="P21" s="34"/>
      <c r="Q21">
        <f t="shared" si="1"/>
        <v>0</v>
      </c>
      <c r="R21" s="33">
        <v>158.6</v>
      </c>
      <c r="S21">
        <f t="shared" si="1"/>
        <v>0</v>
      </c>
      <c r="T21" s="33">
        <v>147.19999999999999</v>
      </c>
      <c r="U21">
        <f t="shared" si="1"/>
        <v>0</v>
      </c>
      <c r="V21" s="33">
        <v>130.80000000000001</v>
      </c>
      <c r="W21">
        <f t="shared" si="2"/>
        <v>0</v>
      </c>
      <c r="X21" s="34"/>
      <c r="Y21">
        <f t="shared" si="3"/>
        <v>0</v>
      </c>
    </row>
    <row r="22" spans="1:25" ht="15" x14ac:dyDescent="0.25">
      <c r="A22" s="37">
        <v>200</v>
      </c>
      <c r="B22" s="33">
        <v>184.6</v>
      </c>
      <c r="C22">
        <f t="shared" si="0"/>
        <v>0</v>
      </c>
      <c r="D22" s="33">
        <v>176.2</v>
      </c>
      <c r="E22">
        <f t="shared" si="1"/>
        <v>0</v>
      </c>
      <c r="F22" s="33">
        <v>163.6</v>
      </c>
      <c r="G22">
        <f t="shared" si="1"/>
        <v>0</v>
      </c>
      <c r="H22" s="34"/>
      <c r="I22">
        <f t="shared" si="1"/>
        <v>0</v>
      </c>
      <c r="J22" s="34"/>
      <c r="K22">
        <f t="shared" si="1"/>
        <v>0</v>
      </c>
      <c r="L22" s="34"/>
      <c r="M22">
        <f t="shared" si="1"/>
        <v>0</v>
      </c>
      <c r="N22" s="34"/>
      <c r="O22">
        <f t="shared" si="1"/>
        <v>0</v>
      </c>
      <c r="P22" s="34"/>
      <c r="Q22">
        <f t="shared" si="1"/>
        <v>0</v>
      </c>
      <c r="R22" s="33">
        <v>176.2</v>
      </c>
      <c r="S22">
        <f t="shared" si="1"/>
        <v>0</v>
      </c>
      <c r="T22" s="33">
        <v>163.6</v>
      </c>
      <c r="U22">
        <f t="shared" si="1"/>
        <v>0</v>
      </c>
      <c r="V22" s="33">
        <v>145.4</v>
      </c>
      <c r="W22">
        <f t="shared" si="2"/>
        <v>0</v>
      </c>
      <c r="X22" s="34"/>
      <c r="Y22">
        <f t="shared" si="3"/>
        <v>0</v>
      </c>
    </row>
    <row r="23" spans="1:25" ht="15" x14ac:dyDescent="0.25">
      <c r="A23" s="37">
        <v>225</v>
      </c>
      <c r="B23" s="33">
        <v>207.8</v>
      </c>
      <c r="C23">
        <f t="shared" si="0"/>
        <v>0</v>
      </c>
      <c r="D23" s="33">
        <v>198.2</v>
      </c>
      <c r="E23">
        <f t="shared" si="1"/>
        <v>0</v>
      </c>
      <c r="F23" s="33">
        <v>184</v>
      </c>
      <c r="G23">
        <f t="shared" si="1"/>
        <v>0</v>
      </c>
      <c r="H23" s="34"/>
      <c r="I23">
        <f t="shared" si="1"/>
        <v>0</v>
      </c>
      <c r="J23" s="34"/>
      <c r="K23">
        <f t="shared" si="1"/>
        <v>0</v>
      </c>
      <c r="L23" s="34"/>
      <c r="M23">
        <f t="shared" si="1"/>
        <v>0</v>
      </c>
      <c r="N23" s="34"/>
      <c r="O23">
        <f t="shared" si="1"/>
        <v>0</v>
      </c>
      <c r="P23" s="34"/>
      <c r="Q23">
        <f t="shared" si="1"/>
        <v>0</v>
      </c>
      <c r="R23" s="33">
        <v>198.2</v>
      </c>
      <c r="S23">
        <f t="shared" si="1"/>
        <v>0</v>
      </c>
      <c r="T23" s="33">
        <v>184</v>
      </c>
      <c r="U23">
        <f t="shared" si="1"/>
        <v>0</v>
      </c>
      <c r="V23" s="34"/>
      <c r="W23">
        <f t="shared" si="2"/>
        <v>0</v>
      </c>
      <c r="X23" s="34"/>
      <c r="Y23">
        <f t="shared" si="3"/>
        <v>0</v>
      </c>
    </row>
    <row r="24" spans="1:25" ht="15" x14ac:dyDescent="0.25">
      <c r="A24" s="37">
        <v>250</v>
      </c>
      <c r="B24" s="33">
        <v>230.8</v>
      </c>
      <c r="C24">
        <f t="shared" si="0"/>
        <v>0</v>
      </c>
      <c r="D24" s="33">
        <v>220.4</v>
      </c>
      <c r="E24">
        <f t="shared" si="1"/>
        <v>0</v>
      </c>
      <c r="F24" s="33">
        <v>204.6</v>
      </c>
      <c r="G24">
        <f t="shared" si="1"/>
        <v>0</v>
      </c>
      <c r="H24" s="34"/>
      <c r="I24">
        <f t="shared" si="1"/>
        <v>0</v>
      </c>
      <c r="J24" s="34"/>
      <c r="K24">
        <f t="shared" si="1"/>
        <v>0</v>
      </c>
      <c r="L24" s="34"/>
      <c r="M24">
        <f t="shared" si="1"/>
        <v>0</v>
      </c>
      <c r="N24" s="34"/>
      <c r="O24">
        <f t="shared" si="1"/>
        <v>0</v>
      </c>
      <c r="P24" s="34"/>
      <c r="Q24">
        <f t="shared" si="1"/>
        <v>0</v>
      </c>
      <c r="R24" s="33">
        <v>220.4</v>
      </c>
      <c r="S24">
        <f t="shared" si="1"/>
        <v>0</v>
      </c>
      <c r="T24" s="33">
        <v>204.6</v>
      </c>
      <c r="U24">
        <f t="shared" si="1"/>
        <v>0</v>
      </c>
      <c r="V24" s="34"/>
      <c r="W24">
        <f t="shared" si="2"/>
        <v>0</v>
      </c>
      <c r="X24" s="34"/>
      <c r="Y24">
        <f t="shared" si="3"/>
        <v>0</v>
      </c>
    </row>
    <row r="25" spans="1:25" ht="15" x14ac:dyDescent="0.25">
      <c r="A25" s="37">
        <v>280</v>
      </c>
      <c r="B25" s="33">
        <v>258.60000000000002</v>
      </c>
      <c r="C25">
        <f t="shared" si="0"/>
        <v>0</v>
      </c>
      <c r="D25" s="33">
        <v>246.8</v>
      </c>
      <c r="E25">
        <f t="shared" ref="E25:U37" si="4">IF(AND($C$1&gt;D25,$C$1&lt;D26),$A26,0)</f>
        <v>0</v>
      </c>
      <c r="F25" s="33">
        <v>229.2</v>
      </c>
      <c r="G25">
        <f t="shared" si="4"/>
        <v>0</v>
      </c>
      <c r="H25" s="34"/>
      <c r="I25">
        <f t="shared" si="4"/>
        <v>0</v>
      </c>
      <c r="J25" s="34"/>
      <c r="K25">
        <f t="shared" si="4"/>
        <v>0</v>
      </c>
      <c r="L25" s="34"/>
      <c r="M25">
        <f t="shared" si="4"/>
        <v>0</v>
      </c>
      <c r="N25" s="34"/>
      <c r="O25">
        <f t="shared" si="4"/>
        <v>0</v>
      </c>
      <c r="P25" s="34"/>
      <c r="Q25">
        <f t="shared" si="4"/>
        <v>0</v>
      </c>
      <c r="R25" s="33">
        <v>246.8</v>
      </c>
      <c r="S25">
        <f t="shared" si="4"/>
        <v>0</v>
      </c>
      <c r="T25" s="33">
        <v>229.2</v>
      </c>
      <c r="U25">
        <f t="shared" si="4"/>
        <v>0</v>
      </c>
      <c r="V25" s="34"/>
      <c r="W25">
        <f t="shared" si="2"/>
        <v>0</v>
      </c>
      <c r="X25" s="34"/>
      <c r="Y25">
        <f t="shared" si="3"/>
        <v>0</v>
      </c>
    </row>
    <row r="26" spans="1:25" ht="15" x14ac:dyDescent="0.25">
      <c r="A26" s="37">
        <v>315</v>
      </c>
      <c r="B26" s="33">
        <v>290.8</v>
      </c>
      <c r="C26">
        <f t="shared" si="0"/>
        <v>0</v>
      </c>
      <c r="D26" s="33">
        <v>277.60000000000002</v>
      </c>
      <c r="E26">
        <f t="shared" si="4"/>
        <v>0</v>
      </c>
      <c r="F26" s="33">
        <v>257.8</v>
      </c>
      <c r="G26">
        <f t="shared" si="4"/>
        <v>0</v>
      </c>
      <c r="H26" s="34"/>
      <c r="I26">
        <f t="shared" si="4"/>
        <v>0</v>
      </c>
      <c r="J26" s="34"/>
      <c r="K26">
        <f t="shared" si="4"/>
        <v>0</v>
      </c>
      <c r="L26" s="34"/>
      <c r="M26">
        <f t="shared" si="4"/>
        <v>0</v>
      </c>
      <c r="N26" s="34"/>
      <c r="O26">
        <f t="shared" si="4"/>
        <v>0</v>
      </c>
      <c r="P26" s="34"/>
      <c r="Q26">
        <f t="shared" si="4"/>
        <v>0</v>
      </c>
      <c r="R26" s="33">
        <v>277.60000000000002</v>
      </c>
      <c r="S26">
        <f t="shared" si="4"/>
        <v>0</v>
      </c>
      <c r="T26" s="33">
        <v>257.8</v>
      </c>
      <c r="U26">
        <f t="shared" si="4"/>
        <v>0</v>
      </c>
      <c r="V26" s="34"/>
      <c r="W26">
        <f t="shared" si="2"/>
        <v>0</v>
      </c>
      <c r="X26" s="34"/>
      <c r="Y26">
        <f t="shared" si="3"/>
        <v>0</v>
      </c>
    </row>
    <row r="27" spans="1:25" ht="15" x14ac:dyDescent="0.25">
      <c r="A27" s="37">
        <v>355</v>
      </c>
      <c r="B27" s="33">
        <v>333.6</v>
      </c>
      <c r="C27">
        <f t="shared" si="0"/>
        <v>0</v>
      </c>
      <c r="D27" s="33">
        <v>312.8</v>
      </c>
      <c r="E27">
        <f t="shared" si="4"/>
        <v>0</v>
      </c>
      <c r="F27" s="33">
        <v>290.39999999999998</v>
      </c>
      <c r="G27">
        <f t="shared" si="4"/>
        <v>0</v>
      </c>
      <c r="H27" s="34"/>
      <c r="I27">
        <f t="shared" si="4"/>
        <v>0</v>
      </c>
      <c r="J27" s="34"/>
      <c r="K27">
        <f t="shared" si="4"/>
        <v>0</v>
      </c>
      <c r="L27" s="34"/>
      <c r="M27">
        <f t="shared" si="4"/>
        <v>0</v>
      </c>
      <c r="N27" s="34"/>
      <c r="O27">
        <f t="shared" si="4"/>
        <v>0</v>
      </c>
      <c r="P27" s="34"/>
      <c r="Q27">
        <f t="shared" si="4"/>
        <v>0</v>
      </c>
      <c r="R27" s="33">
        <v>312.8</v>
      </c>
      <c r="S27">
        <f t="shared" si="4"/>
        <v>0</v>
      </c>
      <c r="T27" s="34"/>
      <c r="U27">
        <f t="shared" si="4"/>
        <v>0</v>
      </c>
      <c r="V27" s="34"/>
      <c r="W27">
        <f t="shared" si="2"/>
        <v>0</v>
      </c>
      <c r="X27" s="34"/>
      <c r="Y27">
        <f t="shared" si="3"/>
        <v>0</v>
      </c>
    </row>
    <row r="28" spans="1:25" ht="15" x14ac:dyDescent="0.25">
      <c r="A28" s="37">
        <v>400</v>
      </c>
      <c r="B28" s="33">
        <v>369.2</v>
      </c>
      <c r="C28">
        <f t="shared" si="0"/>
        <v>0</v>
      </c>
      <c r="D28" s="33">
        <v>352.6</v>
      </c>
      <c r="E28">
        <f t="shared" si="4"/>
        <v>0</v>
      </c>
      <c r="F28" s="33">
        <v>327.2</v>
      </c>
      <c r="G28">
        <f t="shared" si="4"/>
        <v>0</v>
      </c>
      <c r="H28" s="34"/>
      <c r="I28">
        <f t="shared" si="4"/>
        <v>0</v>
      </c>
      <c r="J28" s="34"/>
      <c r="K28">
        <f t="shared" si="4"/>
        <v>0</v>
      </c>
      <c r="L28" s="34"/>
      <c r="M28">
        <f t="shared" si="4"/>
        <v>0</v>
      </c>
      <c r="N28" s="34"/>
      <c r="O28">
        <f t="shared" si="4"/>
        <v>0</v>
      </c>
      <c r="P28" s="34"/>
      <c r="Q28">
        <f t="shared" si="4"/>
        <v>0</v>
      </c>
      <c r="R28" s="33">
        <v>352.6</v>
      </c>
      <c r="S28">
        <f t="shared" si="4"/>
        <v>0</v>
      </c>
      <c r="T28" s="34"/>
      <c r="U28">
        <f t="shared" si="4"/>
        <v>0</v>
      </c>
      <c r="V28" s="34"/>
      <c r="W28">
        <f t="shared" si="2"/>
        <v>0</v>
      </c>
      <c r="X28" s="34"/>
      <c r="Y28">
        <f t="shared" si="3"/>
        <v>0</v>
      </c>
    </row>
    <row r="29" spans="1:25" ht="15" x14ac:dyDescent="0.25">
      <c r="A29" s="37">
        <v>450</v>
      </c>
      <c r="B29" s="33">
        <v>415.6</v>
      </c>
      <c r="C29">
        <f t="shared" si="0"/>
        <v>0</v>
      </c>
      <c r="D29" s="33">
        <v>396.6</v>
      </c>
      <c r="E29">
        <f t="shared" si="4"/>
        <v>0</v>
      </c>
      <c r="F29" s="33">
        <v>368</v>
      </c>
      <c r="G29">
        <f t="shared" si="4"/>
        <v>0</v>
      </c>
      <c r="H29" s="34"/>
      <c r="I29">
        <f t="shared" si="4"/>
        <v>0</v>
      </c>
      <c r="J29" s="34"/>
      <c r="K29">
        <f t="shared" si="4"/>
        <v>0</v>
      </c>
      <c r="L29" s="34"/>
      <c r="M29">
        <f t="shared" si="4"/>
        <v>0</v>
      </c>
      <c r="N29" s="34"/>
      <c r="O29">
        <f t="shared" si="4"/>
        <v>0</v>
      </c>
      <c r="P29" s="34"/>
      <c r="Q29">
        <f t="shared" si="4"/>
        <v>0</v>
      </c>
      <c r="R29" s="33">
        <v>396.6</v>
      </c>
      <c r="S29">
        <f t="shared" si="4"/>
        <v>0</v>
      </c>
      <c r="T29" s="34"/>
      <c r="U29">
        <f t="shared" si="4"/>
        <v>0</v>
      </c>
      <c r="V29" s="34"/>
      <c r="W29">
        <f t="shared" si="2"/>
        <v>0</v>
      </c>
      <c r="X29" s="34"/>
      <c r="Y29">
        <f t="shared" si="3"/>
        <v>0</v>
      </c>
    </row>
    <row r="30" spans="1:25" ht="15" x14ac:dyDescent="0.25">
      <c r="A30" s="37">
        <v>500</v>
      </c>
      <c r="B30" s="33">
        <v>461.8</v>
      </c>
      <c r="C30">
        <f t="shared" si="0"/>
        <v>0</v>
      </c>
      <c r="D30" s="33">
        <v>440.8</v>
      </c>
      <c r="E30">
        <f t="shared" si="4"/>
        <v>0</v>
      </c>
      <c r="F30" s="33">
        <v>409</v>
      </c>
      <c r="G30">
        <f t="shared" si="4"/>
        <v>0</v>
      </c>
      <c r="H30" s="34"/>
      <c r="I30">
        <f t="shared" si="4"/>
        <v>0</v>
      </c>
      <c r="J30" s="34"/>
      <c r="K30">
        <f t="shared" si="4"/>
        <v>0</v>
      </c>
      <c r="L30" s="34"/>
      <c r="M30">
        <f t="shared" si="4"/>
        <v>0</v>
      </c>
      <c r="N30" s="34"/>
      <c r="O30">
        <f t="shared" si="4"/>
        <v>0</v>
      </c>
      <c r="P30" s="34"/>
      <c r="Q30">
        <f t="shared" si="4"/>
        <v>0</v>
      </c>
      <c r="R30" s="33">
        <v>440.8</v>
      </c>
      <c r="S30">
        <f t="shared" si="4"/>
        <v>0</v>
      </c>
      <c r="T30" s="34"/>
      <c r="U30">
        <f t="shared" si="4"/>
        <v>0</v>
      </c>
      <c r="V30" s="34"/>
      <c r="W30">
        <f t="shared" si="2"/>
        <v>0</v>
      </c>
      <c r="X30" s="34"/>
      <c r="Y30">
        <f t="shared" si="3"/>
        <v>0</v>
      </c>
    </row>
    <row r="31" spans="1:25" ht="15" x14ac:dyDescent="0.25">
      <c r="A31" s="37">
        <v>560</v>
      </c>
      <c r="B31" s="33">
        <v>517.20000000000005</v>
      </c>
      <c r="C31">
        <f t="shared" si="0"/>
        <v>0</v>
      </c>
      <c r="D31" s="33">
        <v>493.6</v>
      </c>
      <c r="E31">
        <f t="shared" si="4"/>
        <v>0</v>
      </c>
      <c r="F31" s="33">
        <v>458.2</v>
      </c>
      <c r="G31">
        <f t="shared" si="4"/>
        <v>0</v>
      </c>
      <c r="H31" s="34"/>
      <c r="I31">
        <f t="shared" si="4"/>
        <v>0</v>
      </c>
      <c r="J31" s="34"/>
      <c r="K31">
        <f t="shared" si="4"/>
        <v>0</v>
      </c>
      <c r="L31" s="34"/>
      <c r="M31">
        <f t="shared" si="4"/>
        <v>0</v>
      </c>
      <c r="N31" s="34"/>
      <c r="O31">
        <f t="shared" si="4"/>
        <v>0</v>
      </c>
      <c r="P31" s="34"/>
      <c r="Q31">
        <f t="shared" si="4"/>
        <v>0</v>
      </c>
      <c r="R31" s="34"/>
      <c r="S31">
        <f t="shared" si="4"/>
        <v>0</v>
      </c>
      <c r="T31" s="34"/>
      <c r="U31">
        <f t="shared" si="4"/>
        <v>0</v>
      </c>
      <c r="V31" s="34"/>
      <c r="W31">
        <f t="shared" si="2"/>
        <v>0</v>
      </c>
      <c r="X31" s="34"/>
      <c r="Y31">
        <f t="shared" si="3"/>
        <v>0</v>
      </c>
    </row>
    <row r="32" spans="1:25" ht="15" x14ac:dyDescent="0.25">
      <c r="A32" s="37">
        <v>630</v>
      </c>
      <c r="B32" s="33">
        <v>581.79999999999995</v>
      </c>
      <c r="C32">
        <f t="shared" si="0"/>
        <v>0</v>
      </c>
      <c r="D32" s="33">
        <v>555.20000000000005</v>
      </c>
      <c r="E32">
        <f t="shared" si="4"/>
        <v>0</v>
      </c>
      <c r="F32" s="33">
        <v>515.4</v>
      </c>
      <c r="G32">
        <f t="shared" si="4"/>
        <v>0</v>
      </c>
      <c r="H32" s="34"/>
      <c r="I32">
        <f t="shared" si="4"/>
        <v>0</v>
      </c>
      <c r="J32" s="34"/>
      <c r="K32">
        <f t="shared" si="4"/>
        <v>0</v>
      </c>
      <c r="L32" s="34"/>
      <c r="M32">
        <f t="shared" si="4"/>
        <v>0</v>
      </c>
      <c r="N32" s="34"/>
      <c r="O32">
        <f t="shared" si="4"/>
        <v>0</v>
      </c>
      <c r="P32" s="34"/>
      <c r="Q32">
        <f t="shared" si="4"/>
        <v>0</v>
      </c>
      <c r="R32" s="34"/>
      <c r="S32">
        <f t="shared" si="4"/>
        <v>0</v>
      </c>
      <c r="T32" s="34"/>
      <c r="U32">
        <f t="shared" si="4"/>
        <v>0</v>
      </c>
      <c r="V32" s="34"/>
      <c r="W32">
        <f t="shared" si="2"/>
        <v>0</v>
      </c>
      <c r="X32" s="34"/>
      <c r="Y32">
        <f t="shared" si="3"/>
        <v>0</v>
      </c>
    </row>
    <row r="33" spans="1:25" ht="15" x14ac:dyDescent="0.25">
      <c r="A33" s="37">
        <v>710</v>
      </c>
      <c r="B33" s="33">
        <v>655.6</v>
      </c>
      <c r="C33">
        <f t="shared" si="0"/>
        <v>0</v>
      </c>
      <c r="D33" s="33">
        <v>626</v>
      </c>
      <c r="E33">
        <f t="shared" si="4"/>
        <v>0</v>
      </c>
      <c r="F33" s="33">
        <v>581</v>
      </c>
      <c r="G33">
        <f t="shared" si="4"/>
        <v>0</v>
      </c>
      <c r="H33" s="34"/>
      <c r="I33">
        <f t="shared" si="4"/>
        <v>0</v>
      </c>
      <c r="J33" s="34"/>
      <c r="K33">
        <f t="shared" si="4"/>
        <v>0</v>
      </c>
      <c r="L33" s="34"/>
      <c r="M33">
        <f t="shared" si="4"/>
        <v>0</v>
      </c>
      <c r="N33" s="34"/>
      <c r="O33">
        <f t="shared" si="4"/>
        <v>0</v>
      </c>
      <c r="P33" s="34"/>
      <c r="Q33">
        <f t="shared" si="4"/>
        <v>0</v>
      </c>
      <c r="R33" s="34"/>
      <c r="S33">
        <f t="shared" si="4"/>
        <v>0</v>
      </c>
      <c r="T33" s="34"/>
      <c r="U33">
        <f t="shared" si="4"/>
        <v>0</v>
      </c>
      <c r="V33" s="34"/>
      <c r="W33">
        <f t="shared" si="2"/>
        <v>0</v>
      </c>
      <c r="X33" s="34"/>
      <c r="Y33">
        <f t="shared" si="3"/>
        <v>0</v>
      </c>
    </row>
    <row r="34" spans="1:25" ht="15" x14ac:dyDescent="0.25">
      <c r="A34" s="37">
        <v>800</v>
      </c>
      <c r="B34" s="33">
        <v>738.8</v>
      </c>
      <c r="C34">
        <f t="shared" si="0"/>
        <v>0</v>
      </c>
      <c r="D34" s="33">
        <v>705.2</v>
      </c>
      <c r="E34">
        <f t="shared" si="4"/>
        <v>0</v>
      </c>
      <c r="F34" s="34"/>
      <c r="G34">
        <f t="shared" si="4"/>
        <v>0</v>
      </c>
      <c r="H34" s="34"/>
      <c r="I34">
        <f t="shared" si="4"/>
        <v>0</v>
      </c>
      <c r="J34" s="34"/>
      <c r="K34">
        <f t="shared" si="4"/>
        <v>0</v>
      </c>
      <c r="L34" s="34"/>
      <c r="M34">
        <f t="shared" si="4"/>
        <v>0</v>
      </c>
      <c r="N34" s="34"/>
      <c r="O34">
        <f t="shared" si="4"/>
        <v>0</v>
      </c>
      <c r="P34" s="34"/>
      <c r="Q34">
        <f t="shared" si="4"/>
        <v>0</v>
      </c>
      <c r="R34" s="34"/>
      <c r="S34">
        <f t="shared" si="4"/>
        <v>0</v>
      </c>
      <c r="T34" s="34"/>
      <c r="U34">
        <f t="shared" si="4"/>
        <v>0</v>
      </c>
      <c r="V34" s="34"/>
      <c r="W34">
        <f t="shared" si="2"/>
        <v>0</v>
      </c>
      <c r="X34" s="34"/>
      <c r="Y34">
        <f t="shared" si="3"/>
        <v>0</v>
      </c>
    </row>
    <row r="35" spans="1:25" ht="15" x14ac:dyDescent="0.25">
      <c r="A35" s="37">
        <v>900</v>
      </c>
      <c r="B35" s="33">
        <v>830.8</v>
      </c>
      <c r="C35">
        <f t="shared" si="0"/>
        <v>0</v>
      </c>
      <c r="D35" s="33">
        <v>793.4</v>
      </c>
      <c r="E35">
        <f t="shared" si="4"/>
        <v>0</v>
      </c>
      <c r="F35" s="34"/>
      <c r="G35">
        <f t="shared" si="4"/>
        <v>0</v>
      </c>
      <c r="H35" s="34"/>
      <c r="I35">
        <f t="shared" si="4"/>
        <v>0</v>
      </c>
      <c r="J35" s="34"/>
      <c r="K35">
        <f t="shared" si="4"/>
        <v>0</v>
      </c>
      <c r="L35" s="34"/>
      <c r="M35">
        <f t="shared" si="4"/>
        <v>0</v>
      </c>
      <c r="N35" s="34"/>
      <c r="O35">
        <f t="shared" si="4"/>
        <v>0</v>
      </c>
      <c r="P35" s="34"/>
      <c r="Q35">
        <f t="shared" si="4"/>
        <v>0</v>
      </c>
      <c r="R35" s="34"/>
      <c r="S35">
        <f t="shared" si="4"/>
        <v>0</v>
      </c>
      <c r="T35" s="34"/>
      <c r="U35">
        <f t="shared" si="4"/>
        <v>0</v>
      </c>
      <c r="V35" s="34"/>
      <c r="W35">
        <f t="shared" si="2"/>
        <v>0</v>
      </c>
      <c r="X35" s="34"/>
      <c r="Y35">
        <f t="shared" si="3"/>
        <v>0</v>
      </c>
    </row>
    <row r="36" spans="1:25" ht="15" x14ac:dyDescent="0.25">
      <c r="A36" s="37">
        <v>1000</v>
      </c>
      <c r="B36" s="33">
        <v>923</v>
      </c>
      <c r="C36">
        <f t="shared" si="0"/>
        <v>0</v>
      </c>
      <c r="D36" s="33">
        <v>881.4</v>
      </c>
      <c r="E36">
        <f t="shared" si="4"/>
        <v>0</v>
      </c>
      <c r="F36" s="34"/>
      <c r="G36">
        <f t="shared" si="4"/>
        <v>0</v>
      </c>
      <c r="H36" s="34"/>
      <c r="I36">
        <f t="shared" si="4"/>
        <v>0</v>
      </c>
      <c r="J36" s="34"/>
      <c r="K36">
        <f t="shared" si="4"/>
        <v>0</v>
      </c>
      <c r="L36" s="34"/>
      <c r="M36">
        <f t="shared" si="4"/>
        <v>0</v>
      </c>
      <c r="N36" s="34"/>
      <c r="O36">
        <f t="shared" si="4"/>
        <v>0</v>
      </c>
      <c r="P36" s="34"/>
      <c r="Q36">
        <f t="shared" si="4"/>
        <v>0</v>
      </c>
      <c r="R36" s="34"/>
      <c r="S36">
        <f t="shared" si="4"/>
        <v>0</v>
      </c>
      <c r="T36" s="34"/>
      <c r="U36">
        <f t="shared" si="4"/>
        <v>0</v>
      </c>
      <c r="V36" s="34"/>
      <c r="W36">
        <f t="shared" si="2"/>
        <v>0</v>
      </c>
      <c r="X36" s="34"/>
      <c r="Y36">
        <f t="shared" si="3"/>
        <v>0</v>
      </c>
    </row>
    <row r="37" spans="1:25" ht="15" x14ac:dyDescent="0.25">
      <c r="A37" s="37">
        <v>1200</v>
      </c>
      <c r="B37" s="33">
        <v>1107.5999999999999</v>
      </c>
      <c r="C37">
        <f t="shared" si="0"/>
        <v>0</v>
      </c>
      <c r="D37" s="34"/>
      <c r="E37">
        <f t="shared" si="4"/>
        <v>0</v>
      </c>
      <c r="F37" s="34"/>
      <c r="G37">
        <f t="shared" si="4"/>
        <v>0</v>
      </c>
      <c r="H37" s="32"/>
      <c r="I37">
        <f t="shared" si="4"/>
        <v>0</v>
      </c>
      <c r="J37" s="32"/>
      <c r="K37">
        <f t="shared" si="4"/>
        <v>0</v>
      </c>
      <c r="L37" s="32"/>
      <c r="M37">
        <f t="shared" si="4"/>
        <v>0</v>
      </c>
      <c r="N37" s="32"/>
      <c r="O37">
        <f t="shared" si="4"/>
        <v>0</v>
      </c>
      <c r="P37" s="32"/>
      <c r="Q37">
        <f t="shared" si="4"/>
        <v>0</v>
      </c>
      <c r="R37" s="32"/>
      <c r="S37">
        <f t="shared" si="4"/>
        <v>0</v>
      </c>
      <c r="T37" s="32"/>
      <c r="U37">
        <f t="shared" si="4"/>
        <v>0</v>
      </c>
      <c r="V37" s="32"/>
      <c r="W37">
        <f t="shared" si="2"/>
        <v>0</v>
      </c>
      <c r="X37" s="32"/>
      <c r="Y37">
        <f t="shared" si="3"/>
        <v>0</v>
      </c>
    </row>
    <row r="38" spans="1:25" x14ac:dyDescent="0.2">
      <c r="C38" s="42">
        <f>SUM(C8:C37)</f>
        <v>63</v>
      </c>
      <c r="E38" s="42">
        <f>SUM(E8:E37)</f>
        <v>63</v>
      </c>
      <c r="G38" s="42">
        <f>SUM(G8:G37)</f>
        <v>63</v>
      </c>
      <c r="I38" s="42">
        <f>SUM(I8:I37)</f>
        <v>75</v>
      </c>
      <c r="K38" s="42">
        <f>SUM(K8:K37)</f>
        <v>63</v>
      </c>
      <c r="M38" s="42">
        <f>SUM(M8:M37)</f>
        <v>63</v>
      </c>
      <c r="O38" s="42">
        <f>SUM(O8:O37)</f>
        <v>75</v>
      </c>
      <c r="Q38" s="42">
        <f>SUM(Q8:Q37)</f>
        <v>0</v>
      </c>
      <c r="S38" s="42">
        <f>SUM(S8:S37)</f>
        <v>63</v>
      </c>
      <c r="U38" s="42">
        <f>SUM(U8:U37)</f>
        <v>63</v>
      </c>
      <c r="W38" s="42">
        <f>SUM(W8:W37)</f>
        <v>75</v>
      </c>
      <c r="Y38" s="42">
        <f>SUM(Y8:Y37)</f>
        <v>0</v>
      </c>
    </row>
    <row r="40" spans="1:25" x14ac:dyDescent="0.2">
      <c r="A40" s="31" t="s">
        <v>72</v>
      </c>
    </row>
    <row r="41" spans="1:25" ht="15" x14ac:dyDescent="0.2">
      <c r="A41" s="31">
        <v>1</v>
      </c>
      <c r="B41" s="38" t="s">
        <v>71</v>
      </c>
      <c r="C41" s="35" t="s">
        <v>68</v>
      </c>
      <c r="D41" s="31" t="str">
        <f t="shared" ref="D41:D52" si="5">CONCATENATE(B41, E41,C41)</f>
        <v>PE32 - 2,5 atm</v>
      </c>
      <c r="E41" s="31" t="s">
        <v>73</v>
      </c>
    </row>
    <row r="42" spans="1:25" ht="15" x14ac:dyDescent="0.2">
      <c r="A42" s="31">
        <v>2</v>
      </c>
      <c r="B42" s="38" t="s">
        <v>71</v>
      </c>
      <c r="C42" s="35" t="s">
        <v>64</v>
      </c>
      <c r="D42" s="31" t="str">
        <f t="shared" si="5"/>
        <v>PE32 - 4 atm</v>
      </c>
      <c r="E42" s="31" t="s">
        <v>73</v>
      </c>
    </row>
    <row r="43" spans="1:25" ht="15" x14ac:dyDescent="0.2">
      <c r="A43" s="31">
        <v>3</v>
      </c>
      <c r="B43" s="38" t="s">
        <v>71</v>
      </c>
      <c r="C43" s="35" t="s">
        <v>65</v>
      </c>
      <c r="D43" s="31" t="str">
        <f t="shared" si="5"/>
        <v>PE32 - 6 atm</v>
      </c>
      <c r="E43" s="31" t="s">
        <v>73</v>
      </c>
    </row>
    <row r="44" spans="1:25" ht="15" x14ac:dyDescent="0.2">
      <c r="A44" s="31">
        <v>4</v>
      </c>
      <c r="B44" s="38" t="s">
        <v>71</v>
      </c>
      <c r="C44" s="35" t="s">
        <v>66</v>
      </c>
      <c r="D44" s="31" t="str">
        <f t="shared" si="5"/>
        <v>PE32 - 10 atm</v>
      </c>
      <c r="E44" s="31" t="s">
        <v>73</v>
      </c>
    </row>
    <row r="45" spans="1:25" ht="15" x14ac:dyDescent="0.2">
      <c r="A45" s="31">
        <v>5</v>
      </c>
      <c r="B45" s="38" t="s">
        <v>71</v>
      </c>
      <c r="C45" s="35" t="s">
        <v>67</v>
      </c>
      <c r="D45" s="31" t="str">
        <f t="shared" si="5"/>
        <v>PE32 - 16 atm</v>
      </c>
      <c r="E45" s="31" t="s">
        <v>73</v>
      </c>
    </row>
    <row r="46" spans="1:25" ht="15" x14ac:dyDescent="0.2">
      <c r="A46" s="31">
        <v>6</v>
      </c>
      <c r="B46" s="38" t="s">
        <v>70</v>
      </c>
      <c r="C46" s="35" t="s">
        <v>65</v>
      </c>
      <c r="D46" s="31" t="str">
        <f t="shared" si="5"/>
        <v>PE50 - 6 atm</v>
      </c>
      <c r="E46" s="31" t="s">
        <v>73</v>
      </c>
    </row>
    <row r="47" spans="1:25" ht="15" x14ac:dyDescent="0.2">
      <c r="A47" s="31">
        <v>7</v>
      </c>
      <c r="B47" s="38" t="s">
        <v>70</v>
      </c>
      <c r="C47" s="35" t="s">
        <v>66</v>
      </c>
      <c r="D47" s="31" t="str">
        <f t="shared" si="5"/>
        <v>PE50 - 10 atm</v>
      </c>
      <c r="E47" s="31" t="s">
        <v>73</v>
      </c>
    </row>
    <row r="48" spans="1:25" ht="15" x14ac:dyDescent="0.2">
      <c r="A48" s="31">
        <v>8</v>
      </c>
      <c r="B48" s="38" t="s">
        <v>70</v>
      </c>
      <c r="C48" s="35" t="s">
        <v>67</v>
      </c>
      <c r="D48" s="31" t="str">
        <f t="shared" si="5"/>
        <v>PE50 - 16 atm</v>
      </c>
      <c r="E48" s="31" t="s">
        <v>73</v>
      </c>
    </row>
    <row r="49" spans="1:5" ht="15" x14ac:dyDescent="0.2">
      <c r="A49" s="31">
        <v>9</v>
      </c>
      <c r="B49" s="38" t="s">
        <v>69</v>
      </c>
      <c r="C49" s="35" t="s">
        <v>64</v>
      </c>
      <c r="D49" s="31" t="str">
        <f t="shared" si="5"/>
        <v>PE100 - 4 atm</v>
      </c>
      <c r="E49" s="31" t="s">
        <v>73</v>
      </c>
    </row>
    <row r="50" spans="1:5" ht="15" x14ac:dyDescent="0.2">
      <c r="A50" s="31">
        <v>10</v>
      </c>
      <c r="B50" s="38" t="s">
        <v>69</v>
      </c>
      <c r="C50" s="35" t="s">
        <v>65</v>
      </c>
      <c r="D50" s="31" t="str">
        <f t="shared" si="5"/>
        <v>PE100 - 6 atm</v>
      </c>
      <c r="E50" s="31" t="s">
        <v>73</v>
      </c>
    </row>
    <row r="51" spans="1:5" ht="15" x14ac:dyDescent="0.2">
      <c r="A51" s="31">
        <v>11</v>
      </c>
      <c r="B51" s="38" t="s">
        <v>69</v>
      </c>
      <c r="C51" s="35" t="s">
        <v>66</v>
      </c>
      <c r="D51" s="31" t="str">
        <f t="shared" si="5"/>
        <v>PE100 - 10 atm</v>
      </c>
      <c r="E51" s="31" t="s">
        <v>73</v>
      </c>
    </row>
    <row r="52" spans="1:5" ht="15" x14ac:dyDescent="0.2">
      <c r="A52" s="31">
        <v>12</v>
      </c>
      <c r="B52" s="38" t="s">
        <v>69</v>
      </c>
      <c r="C52" s="35" t="s">
        <v>67</v>
      </c>
      <c r="D52" s="31" t="str">
        <f t="shared" si="5"/>
        <v>PE100 - 16 atm</v>
      </c>
      <c r="E52" s="31" t="s">
        <v>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Y52"/>
  <sheetViews>
    <sheetView showGridLines="0" workbookViewId="0">
      <selection activeCell="G4" sqref="G4"/>
    </sheetView>
  </sheetViews>
  <sheetFormatPr baseColWidth="10" defaultRowHeight="12.75" x14ac:dyDescent="0.2"/>
  <cols>
    <col min="1" max="1" width="11.42578125" style="31"/>
    <col min="2" max="25" width="8.28515625" style="31" customWidth="1"/>
    <col min="26" max="16384" width="11.42578125" style="31"/>
  </cols>
  <sheetData>
    <row r="1" spans="1:25" x14ac:dyDescent="0.2">
      <c r="A1" s="31" t="s">
        <v>75</v>
      </c>
      <c r="C1" s="40">
        <f>calculos!B45</f>
        <v>53.655096504296246</v>
      </c>
      <c r="E1" s="40">
        <f>$C$1</f>
        <v>53.655096504296246</v>
      </c>
      <c r="G1" s="40">
        <f>$C$1</f>
        <v>53.655096504296246</v>
      </c>
      <c r="I1" s="40">
        <f>$C$1</f>
        <v>53.655096504296246</v>
      </c>
      <c r="K1" s="40">
        <f>$C$1</f>
        <v>53.655096504296246</v>
      </c>
      <c r="M1" s="40">
        <f>$C$1</f>
        <v>53.655096504296246</v>
      </c>
      <c r="O1" s="40">
        <f>$C$1</f>
        <v>53.655096504296246</v>
      </c>
      <c r="Q1" s="40">
        <f>$C$1</f>
        <v>53.655096504296246</v>
      </c>
      <c r="S1" s="40">
        <f>$C$1</f>
        <v>53.655096504296246</v>
      </c>
      <c r="U1" s="40">
        <f>$C$1</f>
        <v>53.655096504296246</v>
      </c>
      <c r="W1" s="40">
        <f>$C$1</f>
        <v>53.655096504296246</v>
      </c>
      <c r="Y1" s="40">
        <f>$C$1</f>
        <v>53.655096504296246</v>
      </c>
    </row>
    <row r="2" spans="1:25" x14ac:dyDescent="0.2">
      <c r="A2" s="39">
        <f>calculos!B16</f>
        <v>10</v>
      </c>
      <c r="B2" s="41">
        <v>9</v>
      </c>
      <c r="D2" s="41">
        <v>10</v>
      </c>
      <c r="F2" s="41">
        <v>11</v>
      </c>
      <c r="H2" s="41">
        <v>12</v>
      </c>
      <c r="J2" s="41">
        <v>6</v>
      </c>
      <c r="L2" s="41">
        <v>7</v>
      </c>
      <c r="N2" s="41">
        <v>8</v>
      </c>
      <c r="P2" s="41">
        <v>1</v>
      </c>
      <c r="R2" s="41">
        <v>2</v>
      </c>
      <c r="T2" s="41">
        <v>3</v>
      </c>
      <c r="V2" s="41">
        <v>4</v>
      </c>
      <c r="X2" s="41">
        <v>5</v>
      </c>
    </row>
    <row r="3" spans="1:25" x14ac:dyDescent="0.2">
      <c r="A3" s="39"/>
      <c r="B3" s="45"/>
      <c r="C3" s="43">
        <v>2</v>
      </c>
      <c r="D3" s="45"/>
      <c r="E3" s="43">
        <v>4</v>
      </c>
      <c r="F3" s="45"/>
      <c r="G3" s="41">
        <v>6</v>
      </c>
      <c r="H3" s="45"/>
      <c r="I3" s="41">
        <v>8</v>
      </c>
      <c r="J3" s="45"/>
      <c r="K3" s="41">
        <v>10</v>
      </c>
      <c r="L3" s="45"/>
      <c r="M3" s="41">
        <v>12</v>
      </c>
      <c r="N3" s="45"/>
      <c r="O3" s="41">
        <v>14</v>
      </c>
      <c r="P3" s="45"/>
      <c r="Q3" s="41">
        <v>16</v>
      </c>
      <c r="R3" s="45"/>
      <c r="S3" s="41">
        <v>18</v>
      </c>
      <c r="T3" s="45"/>
      <c r="U3" s="41">
        <v>20</v>
      </c>
      <c r="V3" s="45"/>
      <c r="W3" s="41">
        <v>22</v>
      </c>
      <c r="X3" s="45"/>
      <c r="Y3" s="41">
        <v>24</v>
      </c>
    </row>
    <row r="4" spans="1:25" ht="15" x14ac:dyDescent="0.25">
      <c r="B4" s="31" t="str">
        <f>CONCATENATE(B6,$E$41,B7,$E$41,"Dn",C7)</f>
        <v>PE100 - 4 atm - Dn63</v>
      </c>
      <c r="C4"/>
      <c r="D4" s="31" t="str">
        <f>CONCATENATE(D6,$E$41,D7,$E$41,"Dn",E7)</f>
        <v>PE100 - 6 atm - Dn63</v>
      </c>
      <c r="F4" s="31" t="str">
        <f>CONCATENATE(F6,$E$41,F7,$E$41,"Dn",G7)</f>
        <v>PE100 - 10 atm - Dn75</v>
      </c>
      <c r="H4" s="31" t="str">
        <f>CONCATENATE(H6,$E$41,H7,$E$41,"Dn",I7)</f>
        <v>PE100 - 16 atm - Dn75</v>
      </c>
      <c r="J4" s="31" t="str">
        <f>CONCATENATE(J6,$E$41,J7,$E$41,"Dn",K7)</f>
        <v>PE50 - 6 atm - Dn63</v>
      </c>
      <c r="L4" s="31" t="str">
        <f>CONCATENATE(L6,$E$41,L7,$E$41,"Dn",M7)</f>
        <v>PE50 - 10 atm - Dn75</v>
      </c>
      <c r="N4" s="31" t="str">
        <f>CONCATENATE(N6,$E$41,N7,$E$41,"Dn",O7)</f>
        <v>PE50 - 16 atm - Dn75</v>
      </c>
      <c r="P4" s="31" t="str">
        <f>CONCATENATE(P6,$E$41,P7,$E$41,"Dn",Q7)</f>
        <v>PE32 - 2,5 atm - Dn0</v>
      </c>
      <c r="R4" s="31" t="str">
        <f>CONCATENATE(R6,$E$41,R7,$E$41,"Dn",S7)</f>
        <v>PE32 - 4 atm - Dn63</v>
      </c>
      <c r="T4" s="31" t="str">
        <f>CONCATENATE(T6,$E$41,T7,$E$41,"Dn",U7)</f>
        <v>PE32 - 6 atm - Dn75</v>
      </c>
      <c r="V4" s="31" t="str">
        <f>CONCATENATE(V6,$E$41,V7,$E$41,"Dn",W7)</f>
        <v>PE32 - 10 atm - Dn75</v>
      </c>
      <c r="X4" s="31" t="str">
        <f>CONCATENATE(X6,$E$41,X7,$E$41,"Dn",Y7)</f>
        <v>PE32 - 16 atm - Dn0</v>
      </c>
    </row>
    <row r="5" spans="1:25" ht="15" x14ac:dyDescent="0.25">
      <c r="B5" s="44">
        <f>VLOOKUP(C7,$A$8:$Y$37,C3,0)</f>
        <v>58.2</v>
      </c>
      <c r="C5"/>
      <c r="D5" s="44">
        <f>VLOOKUP(E7,$A$8:$Y$37,E3,0)</f>
        <v>55.4</v>
      </c>
      <c r="F5" s="44">
        <f>VLOOKUP(G7,$A$8:$Y$37,G3,0)</f>
        <v>61.4</v>
      </c>
      <c r="H5" s="44">
        <f>VLOOKUP(I7,$A$8:$Y$37,I3,0)</f>
        <v>54.4</v>
      </c>
      <c r="J5" s="44">
        <f>VLOOKUP(K7,$A$8:$Y$37,K3,0)</f>
        <v>55.4</v>
      </c>
      <c r="L5" s="44">
        <f>VLOOKUP(M7,$A$8:$Y$37,M3,0)</f>
        <v>61.4</v>
      </c>
      <c r="N5" s="44">
        <f>VLOOKUP(O7,$A$8:$Y$37,O3,0)</f>
        <v>54.4</v>
      </c>
      <c r="P5" s="44" t="e">
        <f>VLOOKUP(Q7,$A$8:$Y$37,Q3,0)</f>
        <v>#N/A</v>
      </c>
      <c r="R5" s="44">
        <f>VLOOKUP(S7,$A$8:$Y$37,S3,0)</f>
        <v>55.4</v>
      </c>
      <c r="T5" s="44">
        <f>VLOOKUP(U7,$A$8:$Y$37,U3,0)</f>
        <v>61.4</v>
      </c>
      <c r="V5" s="44">
        <f>VLOOKUP(W7,$A$8:$Y$37,W3,0)</f>
        <v>54.4</v>
      </c>
      <c r="X5" s="44" t="e">
        <f>VLOOKUP(Y7,$A$8:$Y$37,Y3,0)</f>
        <v>#N/A</v>
      </c>
    </row>
    <row r="6" spans="1:25" x14ac:dyDescent="0.2">
      <c r="B6" s="38" t="s">
        <v>69</v>
      </c>
      <c r="D6" s="38" t="s">
        <v>69</v>
      </c>
      <c r="F6" s="38" t="s">
        <v>69</v>
      </c>
      <c r="H6" s="38" t="s">
        <v>69</v>
      </c>
      <c r="J6" s="38" t="s">
        <v>70</v>
      </c>
      <c r="L6" s="38" t="s">
        <v>70</v>
      </c>
      <c r="N6" s="38" t="s">
        <v>70</v>
      </c>
      <c r="P6" s="38" t="s">
        <v>71</v>
      </c>
      <c r="R6" s="38" t="s">
        <v>71</v>
      </c>
      <c r="T6" s="38" t="s">
        <v>71</v>
      </c>
      <c r="V6" s="38" t="s">
        <v>71</v>
      </c>
      <c r="X6" s="38" t="s">
        <v>71</v>
      </c>
    </row>
    <row r="7" spans="1:25" ht="15" x14ac:dyDescent="0.2">
      <c r="A7" s="36" t="s">
        <v>29</v>
      </c>
      <c r="B7" s="35" t="s">
        <v>64</v>
      </c>
      <c r="C7" s="35">
        <f>C38</f>
        <v>63</v>
      </c>
      <c r="D7" s="35" t="s">
        <v>65</v>
      </c>
      <c r="E7" s="35">
        <f>E38</f>
        <v>63</v>
      </c>
      <c r="F7" s="35" t="s">
        <v>66</v>
      </c>
      <c r="G7" s="35">
        <f>G38</f>
        <v>75</v>
      </c>
      <c r="H7" s="35" t="s">
        <v>67</v>
      </c>
      <c r="I7" s="35">
        <f>I38</f>
        <v>75</v>
      </c>
      <c r="J7" s="35" t="s">
        <v>65</v>
      </c>
      <c r="K7" s="35">
        <f>K38</f>
        <v>63</v>
      </c>
      <c r="L7" s="35" t="s">
        <v>66</v>
      </c>
      <c r="M7" s="35">
        <f>M38</f>
        <v>75</v>
      </c>
      <c r="N7" s="35" t="s">
        <v>67</v>
      </c>
      <c r="O7" s="35">
        <f>O38</f>
        <v>75</v>
      </c>
      <c r="P7" s="35" t="s">
        <v>68</v>
      </c>
      <c r="Q7" s="35">
        <f>Q38</f>
        <v>0</v>
      </c>
      <c r="R7" s="35" t="s">
        <v>64</v>
      </c>
      <c r="S7" s="35">
        <f>S38</f>
        <v>63</v>
      </c>
      <c r="T7" s="35" t="s">
        <v>65</v>
      </c>
      <c r="U7" s="35">
        <f>U38</f>
        <v>75</v>
      </c>
      <c r="V7" s="35" t="s">
        <v>66</v>
      </c>
      <c r="W7" s="35">
        <f>W38</f>
        <v>75</v>
      </c>
      <c r="X7" s="35" t="s">
        <v>67</v>
      </c>
      <c r="Y7" s="35">
        <f>Y38</f>
        <v>0</v>
      </c>
    </row>
    <row r="8" spans="1:25" ht="15" x14ac:dyDescent="0.25">
      <c r="A8" s="37">
        <v>16</v>
      </c>
      <c r="B8" s="33">
        <v>14</v>
      </c>
      <c r="C8">
        <f>IF(AND($C$1&gt;B8,$C$1&lt;B9),$B9,0)</f>
        <v>0</v>
      </c>
      <c r="D8" s="33">
        <v>13.6</v>
      </c>
      <c r="E8">
        <f>IF(AND($C$1&gt;D8,$C$1&lt;D9),$A9,0)</f>
        <v>0</v>
      </c>
      <c r="F8" s="33">
        <v>12</v>
      </c>
      <c r="G8">
        <f>IF(AND($C$1&gt;F8,$C$1&lt;F9),$A9,0)</f>
        <v>0</v>
      </c>
      <c r="H8" s="33">
        <v>11.6</v>
      </c>
      <c r="I8">
        <f>IF(AND($C$1&gt;H8,$C$1&lt;H9),$A9,0)</f>
        <v>0</v>
      </c>
      <c r="J8" s="34"/>
      <c r="K8">
        <f>IF(AND($C$1&gt;J8,$C$1&lt;J9),$A9,0)</f>
        <v>0</v>
      </c>
      <c r="L8" s="34"/>
      <c r="M8">
        <f>IF(AND($C$1&gt;L8,$C$1&lt;L9),$A9,0)</f>
        <v>0</v>
      </c>
      <c r="N8" s="34"/>
      <c r="O8">
        <f>IF(AND($C$1&gt;N8,$C$1&lt;N9),$A9,0)</f>
        <v>0</v>
      </c>
      <c r="P8" s="33">
        <v>13.6</v>
      </c>
      <c r="Q8">
        <f>IF(AND($C$1&gt;P8,$C$1&lt;P9),$A9,0)</f>
        <v>0</v>
      </c>
      <c r="R8" s="33">
        <v>12.8</v>
      </c>
      <c r="S8">
        <f>IF(AND($C$1&gt;R8,$C$1&lt;R9),$A9,0)</f>
        <v>0</v>
      </c>
      <c r="T8" s="33">
        <v>12</v>
      </c>
      <c r="U8">
        <f>IF(AND($C$1&gt;T8,$C$1&lt;T9),$A9,0)</f>
        <v>0</v>
      </c>
      <c r="V8" s="33">
        <v>11.6</v>
      </c>
      <c r="W8">
        <f>IF(AND($C$1&gt;V8,$C$1&lt;V9),$A9,0)</f>
        <v>0</v>
      </c>
      <c r="X8" s="33">
        <v>9.6</v>
      </c>
      <c r="Y8">
        <f>IF(AND($C$1&gt;X8,$C$1&lt;X9),$A9,0)</f>
        <v>0</v>
      </c>
    </row>
    <row r="9" spans="1:25" ht="15" x14ac:dyDescent="0.25">
      <c r="A9" s="37">
        <v>20</v>
      </c>
      <c r="B9" s="33">
        <v>17.8</v>
      </c>
      <c r="C9">
        <f t="shared" ref="C9:C37" si="0">IF(AND($C$1&gt;B9,$C$1&lt;B10),$A10,0)</f>
        <v>0</v>
      </c>
      <c r="D9" s="33">
        <v>17.2</v>
      </c>
      <c r="E9">
        <f t="shared" ref="E9:S9" si="1">IF(AND($C$1&gt;D9,$C$1&lt;D10),$A10,0)</f>
        <v>0</v>
      </c>
      <c r="F9" s="33">
        <v>16</v>
      </c>
      <c r="G9">
        <f t="shared" si="1"/>
        <v>0</v>
      </c>
      <c r="H9" s="33">
        <v>14.4</v>
      </c>
      <c r="I9">
        <f t="shared" si="1"/>
        <v>0</v>
      </c>
      <c r="J9" s="34"/>
      <c r="K9">
        <f t="shared" si="1"/>
        <v>0</v>
      </c>
      <c r="L9" s="33">
        <v>16</v>
      </c>
      <c r="M9">
        <f t="shared" si="1"/>
        <v>0</v>
      </c>
      <c r="N9" s="33">
        <v>14.4</v>
      </c>
      <c r="O9">
        <f t="shared" si="1"/>
        <v>0</v>
      </c>
      <c r="P9" s="33">
        <v>17.2</v>
      </c>
      <c r="Q9">
        <f t="shared" si="1"/>
        <v>0</v>
      </c>
      <c r="R9" s="33">
        <v>16.600000000000001</v>
      </c>
      <c r="S9">
        <f t="shared" si="1"/>
        <v>0</v>
      </c>
      <c r="T9" s="33">
        <v>16</v>
      </c>
      <c r="U9">
        <f t="shared" ref="E9:U24" si="2">IF(AND($C$1&gt;T9,$C$1&lt;T10),$A10,0)</f>
        <v>0</v>
      </c>
      <c r="V9" s="33">
        <v>14.4</v>
      </c>
      <c r="W9">
        <f t="shared" ref="W9:W37" si="3">IF(AND($C$1&gt;V9,$C$1&lt;V10),$A10,0)</f>
        <v>0</v>
      </c>
      <c r="X9" s="33">
        <v>12</v>
      </c>
      <c r="Y9">
        <f t="shared" ref="Y9:Y37" si="4">IF(AND($C$1&gt;X9,$C$1&lt;X10),$A10,0)</f>
        <v>0</v>
      </c>
    </row>
    <row r="10" spans="1:25" ht="15" x14ac:dyDescent="0.25">
      <c r="A10" s="37">
        <v>25</v>
      </c>
      <c r="B10" s="33">
        <v>22.4</v>
      </c>
      <c r="C10">
        <f t="shared" si="0"/>
        <v>0</v>
      </c>
      <c r="D10" s="33">
        <v>21</v>
      </c>
      <c r="E10">
        <f t="shared" si="2"/>
        <v>0</v>
      </c>
      <c r="F10" s="33">
        <v>20.399999999999999</v>
      </c>
      <c r="G10">
        <f t="shared" si="2"/>
        <v>0</v>
      </c>
      <c r="H10" s="33">
        <v>18</v>
      </c>
      <c r="I10">
        <f t="shared" si="2"/>
        <v>0</v>
      </c>
      <c r="J10" s="33">
        <v>21</v>
      </c>
      <c r="K10">
        <f t="shared" si="2"/>
        <v>0</v>
      </c>
      <c r="L10" s="33">
        <v>20.399999999999999</v>
      </c>
      <c r="M10">
        <f t="shared" si="2"/>
        <v>0</v>
      </c>
      <c r="N10" s="33">
        <v>18</v>
      </c>
      <c r="O10">
        <f t="shared" si="2"/>
        <v>0</v>
      </c>
      <c r="P10" s="33">
        <v>21.8</v>
      </c>
      <c r="Q10">
        <f t="shared" si="2"/>
        <v>0</v>
      </c>
      <c r="R10" s="33">
        <v>21</v>
      </c>
      <c r="S10">
        <f t="shared" si="2"/>
        <v>0</v>
      </c>
      <c r="T10" s="33">
        <v>20.399999999999999</v>
      </c>
      <c r="U10">
        <f t="shared" si="2"/>
        <v>0</v>
      </c>
      <c r="V10" s="33">
        <v>18</v>
      </c>
      <c r="W10">
        <f t="shared" si="3"/>
        <v>0</v>
      </c>
      <c r="X10" s="33">
        <v>15</v>
      </c>
      <c r="Y10">
        <f t="shared" si="4"/>
        <v>0</v>
      </c>
    </row>
    <row r="11" spans="1:25" ht="15" x14ac:dyDescent="0.25">
      <c r="A11" s="37">
        <v>32</v>
      </c>
      <c r="B11" s="33">
        <v>29</v>
      </c>
      <c r="C11">
        <f t="shared" si="0"/>
        <v>0</v>
      </c>
      <c r="D11" s="33">
        <v>28</v>
      </c>
      <c r="E11">
        <f t="shared" si="2"/>
        <v>0</v>
      </c>
      <c r="F11" s="33">
        <v>26.2</v>
      </c>
      <c r="G11">
        <f t="shared" si="2"/>
        <v>0</v>
      </c>
      <c r="H11" s="33">
        <v>23.2</v>
      </c>
      <c r="I11">
        <f t="shared" si="2"/>
        <v>0</v>
      </c>
      <c r="J11" s="33">
        <v>28</v>
      </c>
      <c r="K11">
        <f t="shared" si="2"/>
        <v>0</v>
      </c>
      <c r="L11" s="33">
        <v>26.2</v>
      </c>
      <c r="M11">
        <f t="shared" si="2"/>
        <v>0</v>
      </c>
      <c r="N11" s="33">
        <v>23.2</v>
      </c>
      <c r="O11">
        <f t="shared" si="2"/>
        <v>0</v>
      </c>
      <c r="P11" s="33">
        <v>28.4</v>
      </c>
      <c r="Q11">
        <f t="shared" si="2"/>
        <v>0</v>
      </c>
      <c r="R11" s="33">
        <v>28</v>
      </c>
      <c r="S11">
        <f t="shared" si="2"/>
        <v>0</v>
      </c>
      <c r="T11" s="33">
        <v>26.2</v>
      </c>
      <c r="U11">
        <f t="shared" si="2"/>
        <v>0</v>
      </c>
      <c r="V11" s="33">
        <v>23.2</v>
      </c>
      <c r="W11">
        <f t="shared" si="3"/>
        <v>0</v>
      </c>
      <c r="X11" s="33">
        <v>19.2</v>
      </c>
      <c r="Y11">
        <f t="shared" si="4"/>
        <v>0</v>
      </c>
    </row>
    <row r="12" spans="1:25" ht="15" x14ac:dyDescent="0.25">
      <c r="A12" s="37">
        <v>40</v>
      </c>
      <c r="B12" s="33">
        <v>36</v>
      </c>
      <c r="C12">
        <f t="shared" si="0"/>
        <v>0</v>
      </c>
      <c r="D12" s="33">
        <v>35.200000000000003</v>
      </c>
      <c r="E12">
        <f t="shared" si="2"/>
        <v>0</v>
      </c>
      <c r="F12" s="33">
        <v>32.6</v>
      </c>
      <c r="G12">
        <f t="shared" si="2"/>
        <v>0</v>
      </c>
      <c r="H12" s="33">
        <v>29</v>
      </c>
      <c r="I12">
        <f t="shared" si="2"/>
        <v>0</v>
      </c>
      <c r="J12" s="33">
        <v>35.200000000000003</v>
      </c>
      <c r="K12">
        <f t="shared" si="2"/>
        <v>0</v>
      </c>
      <c r="L12" s="33">
        <v>32.6</v>
      </c>
      <c r="M12">
        <f t="shared" si="2"/>
        <v>0</v>
      </c>
      <c r="N12" s="33">
        <v>29</v>
      </c>
      <c r="O12">
        <f t="shared" si="2"/>
        <v>0</v>
      </c>
      <c r="P12" s="34"/>
      <c r="Q12">
        <f t="shared" si="2"/>
        <v>0</v>
      </c>
      <c r="R12" s="33">
        <v>35.200000000000003</v>
      </c>
      <c r="S12">
        <f t="shared" si="2"/>
        <v>0</v>
      </c>
      <c r="T12" s="33">
        <v>32.6</v>
      </c>
      <c r="U12">
        <f t="shared" si="2"/>
        <v>0</v>
      </c>
      <c r="V12" s="33">
        <v>29</v>
      </c>
      <c r="W12">
        <f t="shared" si="3"/>
        <v>0</v>
      </c>
      <c r="X12" s="33">
        <v>24</v>
      </c>
      <c r="Y12">
        <f t="shared" si="4"/>
        <v>0</v>
      </c>
    </row>
    <row r="13" spans="1:25" ht="15" x14ac:dyDescent="0.25">
      <c r="A13" s="37">
        <v>50</v>
      </c>
      <c r="B13" s="33">
        <v>46</v>
      </c>
      <c r="C13">
        <f t="shared" si="0"/>
        <v>63</v>
      </c>
      <c r="D13" s="33">
        <v>44</v>
      </c>
      <c r="E13">
        <f t="shared" si="2"/>
        <v>63</v>
      </c>
      <c r="F13" s="33">
        <v>40.799999999999997</v>
      </c>
      <c r="G13">
        <f t="shared" si="2"/>
        <v>0</v>
      </c>
      <c r="H13" s="33">
        <v>36.200000000000003</v>
      </c>
      <c r="I13">
        <f t="shared" si="2"/>
        <v>0</v>
      </c>
      <c r="J13" s="33">
        <v>44</v>
      </c>
      <c r="K13">
        <f t="shared" si="2"/>
        <v>63</v>
      </c>
      <c r="L13" s="33">
        <v>40.799999999999997</v>
      </c>
      <c r="M13">
        <f t="shared" si="2"/>
        <v>0</v>
      </c>
      <c r="N13" s="33">
        <v>36.200000000000003</v>
      </c>
      <c r="O13">
        <f t="shared" si="2"/>
        <v>0</v>
      </c>
      <c r="P13" s="34"/>
      <c r="Q13">
        <f t="shared" si="2"/>
        <v>0</v>
      </c>
      <c r="R13" s="33">
        <v>44</v>
      </c>
      <c r="S13">
        <f t="shared" si="2"/>
        <v>63</v>
      </c>
      <c r="T13" s="33">
        <v>40.799999999999997</v>
      </c>
      <c r="U13">
        <f t="shared" si="2"/>
        <v>0</v>
      </c>
      <c r="V13" s="33">
        <v>36.200000000000003</v>
      </c>
      <c r="W13">
        <f t="shared" si="3"/>
        <v>0</v>
      </c>
      <c r="X13" s="33">
        <v>30</v>
      </c>
      <c r="Y13">
        <f t="shared" si="4"/>
        <v>0</v>
      </c>
    </row>
    <row r="14" spans="1:25" ht="15" x14ac:dyDescent="0.25">
      <c r="A14" s="37">
        <v>63</v>
      </c>
      <c r="B14" s="33">
        <v>58.2</v>
      </c>
      <c r="C14">
        <f t="shared" si="0"/>
        <v>0</v>
      </c>
      <c r="D14" s="33">
        <v>55.4</v>
      </c>
      <c r="E14">
        <f t="shared" si="2"/>
        <v>0</v>
      </c>
      <c r="F14" s="33">
        <v>51.4</v>
      </c>
      <c r="G14">
        <f t="shared" si="2"/>
        <v>75</v>
      </c>
      <c r="H14" s="33">
        <v>45.8</v>
      </c>
      <c r="I14">
        <f t="shared" si="2"/>
        <v>75</v>
      </c>
      <c r="J14" s="33">
        <v>55.4</v>
      </c>
      <c r="K14">
        <f t="shared" si="2"/>
        <v>0</v>
      </c>
      <c r="L14" s="33">
        <v>51.4</v>
      </c>
      <c r="M14">
        <f t="shared" si="2"/>
        <v>75</v>
      </c>
      <c r="N14" s="33">
        <v>45.8</v>
      </c>
      <c r="O14">
        <f t="shared" si="2"/>
        <v>75</v>
      </c>
      <c r="P14" s="34"/>
      <c r="Q14">
        <f t="shared" si="2"/>
        <v>0</v>
      </c>
      <c r="R14" s="33">
        <v>55.4</v>
      </c>
      <c r="S14">
        <f t="shared" si="2"/>
        <v>0</v>
      </c>
      <c r="T14" s="33">
        <v>51.4</v>
      </c>
      <c r="U14">
        <f t="shared" si="2"/>
        <v>75</v>
      </c>
      <c r="V14" s="33">
        <v>45.8</v>
      </c>
      <c r="W14">
        <f t="shared" si="3"/>
        <v>75</v>
      </c>
      <c r="X14" s="33">
        <v>37.799999999999997</v>
      </c>
      <c r="Y14">
        <f t="shared" si="4"/>
        <v>0</v>
      </c>
    </row>
    <row r="15" spans="1:25" ht="15" x14ac:dyDescent="0.25">
      <c r="A15" s="37">
        <v>75</v>
      </c>
      <c r="B15" s="33">
        <v>69.2</v>
      </c>
      <c r="C15">
        <f t="shared" si="0"/>
        <v>0</v>
      </c>
      <c r="D15" s="33">
        <v>66</v>
      </c>
      <c r="E15">
        <f t="shared" si="2"/>
        <v>0</v>
      </c>
      <c r="F15" s="33">
        <v>61.4</v>
      </c>
      <c r="G15">
        <f t="shared" si="2"/>
        <v>0</v>
      </c>
      <c r="H15" s="33">
        <v>54.4</v>
      </c>
      <c r="I15">
        <f t="shared" si="2"/>
        <v>0</v>
      </c>
      <c r="J15" s="33">
        <v>66</v>
      </c>
      <c r="K15">
        <f t="shared" si="2"/>
        <v>0</v>
      </c>
      <c r="L15" s="33">
        <v>61.4</v>
      </c>
      <c r="M15">
        <f t="shared" si="2"/>
        <v>0</v>
      </c>
      <c r="N15" s="33">
        <v>54.4</v>
      </c>
      <c r="O15">
        <f t="shared" si="2"/>
        <v>0</v>
      </c>
      <c r="P15" s="34"/>
      <c r="Q15">
        <f t="shared" si="2"/>
        <v>0</v>
      </c>
      <c r="R15" s="33">
        <v>66</v>
      </c>
      <c r="S15">
        <f t="shared" si="2"/>
        <v>0</v>
      </c>
      <c r="T15" s="33">
        <v>61.4</v>
      </c>
      <c r="U15">
        <f t="shared" si="2"/>
        <v>0</v>
      </c>
      <c r="V15" s="33">
        <v>54.4</v>
      </c>
      <c r="W15">
        <f t="shared" si="3"/>
        <v>0</v>
      </c>
      <c r="X15" s="33">
        <v>45</v>
      </c>
      <c r="Y15">
        <f t="shared" si="4"/>
        <v>0</v>
      </c>
    </row>
    <row r="16" spans="1:25" ht="15" x14ac:dyDescent="0.25">
      <c r="A16" s="37">
        <v>90</v>
      </c>
      <c r="B16" s="33">
        <v>83</v>
      </c>
      <c r="C16">
        <f t="shared" si="0"/>
        <v>0</v>
      </c>
      <c r="D16" s="33">
        <v>79.2</v>
      </c>
      <c r="E16">
        <f t="shared" si="2"/>
        <v>0</v>
      </c>
      <c r="F16" s="33">
        <v>73.599999999999994</v>
      </c>
      <c r="G16">
        <f t="shared" si="2"/>
        <v>0</v>
      </c>
      <c r="H16" s="33">
        <v>65.2</v>
      </c>
      <c r="I16">
        <f t="shared" si="2"/>
        <v>0</v>
      </c>
      <c r="J16" s="33">
        <v>79.2</v>
      </c>
      <c r="K16">
        <f t="shared" si="2"/>
        <v>0</v>
      </c>
      <c r="L16" s="33">
        <v>73.599999999999994</v>
      </c>
      <c r="M16">
        <f t="shared" si="2"/>
        <v>0</v>
      </c>
      <c r="N16" s="33">
        <v>65.2</v>
      </c>
      <c r="O16">
        <f t="shared" si="2"/>
        <v>0</v>
      </c>
      <c r="P16" s="34"/>
      <c r="Q16">
        <f t="shared" si="2"/>
        <v>0</v>
      </c>
      <c r="R16" s="33">
        <v>79.2</v>
      </c>
      <c r="S16">
        <f t="shared" si="2"/>
        <v>0</v>
      </c>
      <c r="T16" s="33">
        <v>73.599999999999994</v>
      </c>
      <c r="U16">
        <f t="shared" si="2"/>
        <v>0</v>
      </c>
      <c r="V16" s="33">
        <v>65.400000000000006</v>
      </c>
      <c r="W16">
        <f t="shared" si="3"/>
        <v>0</v>
      </c>
      <c r="X16" s="34"/>
      <c r="Y16">
        <f t="shared" si="4"/>
        <v>0</v>
      </c>
    </row>
    <row r="17" spans="1:25" ht="15" x14ac:dyDescent="0.25">
      <c r="A17" s="37">
        <v>110</v>
      </c>
      <c r="B17" s="33">
        <v>101.6</v>
      </c>
      <c r="C17">
        <f t="shared" si="0"/>
        <v>0</v>
      </c>
      <c r="D17" s="33">
        <v>96.8</v>
      </c>
      <c r="E17">
        <f t="shared" si="2"/>
        <v>0</v>
      </c>
      <c r="F17" s="33">
        <v>90</v>
      </c>
      <c r="G17">
        <f t="shared" si="2"/>
        <v>0</v>
      </c>
      <c r="H17" s="33">
        <v>79.599999999999994</v>
      </c>
      <c r="I17">
        <f t="shared" si="2"/>
        <v>0</v>
      </c>
      <c r="J17" s="34"/>
      <c r="K17">
        <f t="shared" si="2"/>
        <v>0</v>
      </c>
      <c r="L17" s="34"/>
      <c r="M17">
        <f t="shared" si="2"/>
        <v>0</v>
      </c>
      <c r="N17" s="34"/>
      <c r="O17">
        <f t="shared" si="2"/>
        <v>0</v>
      </c>
      <c r="P17" s="34"/>
      <c r="Q17">
        <f t="shared" si="2"/>
        <v>0</v>
      </c>
      <c r="R17" s="33">
        <v>96.8</v>
      </c>
      <c r="S17">
        <f t="shared" si="2"/>
        <v>0</v>
      </c>
      <c r="T17" s="33">
        <v>90</v>
      </c>
      <c r="U17">
        <f t="shared" si="2"/>
        <v>0</v>
      </c>
      <c r="V17" s="33">
        <v>79.8</v>
      </c>
      <c r="W17">
        <f t="shared" si="3"/>
        <v>0</v>
      </c>
      <c r="X17" s="34"/>
      <c r="Y17">
        <f t="shared" si="4"/>
        <v>0</v>
      </c>
    </row>
    <row r="18" spans="1:25" ht="15" x14ac:dyDescent="0.25">
      <c r="A18" s="37">
        <v>125</v>
      </c>
      <c r="B18" s="33">
        <v>115.4</v>
      </c>
      <c r="C18">
        <f t="shared" si="0"/>
        <v>0</v>
      </c>
      <c r="D18" s="33">
        <v>110.2</v>
      </c>
      <c r="E18">
        <f t="shared" si="2"/>
        <v>0</v>
      </c>
      <c r="F18" s="33">
        <v>102.2</v>
      </c>
      <c r="G18">
        <f t="shared" si="2"/>
        <v>0</v>
      </c>
      <c r="H18" s="34"/>
      <c r="I18">
        <f t="shared" si="2"/>
        <v>0</v>
      </c>
      <c r="J18" s="34"/>
      <c r="K18">
        <f t="shared" si="2"/>
        <v>0</v>
      </c>
      <c r="L18" s="34"/>
      <c r="M18">
        <f t="shared" si="2"/>
        <v>0</v>
      </c>
      <c r="N18" s="34"/>
      <c r="O18">
        <f t="shared" si="2"/>
        <v>0</v>
      </c>
      <c r="P18" s="34"/>
      <c r="Q18">
        <f t="shared" si="2"/>
        <v>0</v>
      </c>
      <c r="R18" s="33">
        <v>110.2</v>
      </c>
      <c r="S18">
        <f t="shared" si="2"/>
        <v>0</v>
      </c>
      <c r="T18" s="33">
        <v>102.2</v>
      </c>
      <c r="U18">
        <f t="shared" si="2"/>
        <v>0</v>
      </c>
      <c r="V18" s="33">
        <v>90.8</v>
      </c>
      <c r="W18">
        <f t="shared" si="3"/>
        <v>0</v>
      </c>
      <c r="X18" s="34"/>
      <c r="Y18">
        <f t="shared" si="4"/>
        <v>0</v>
      </c>
    </row>
    <row r="19" spans="1:25" ht="15" x14ac:dyDescent="0.25">
      <c r="A19" s="37">
        <v>140</v>
      </c>
      <c r="B19" s="33">
        <v>129.19999999999999</v>
      </c>
      <c r="C19">
        <f t="shared" si="0"/>
        <v>0</v>
      </c>
      <c r="D19" s="33">
        <v>123.4</v>
      </c>
      <c r="E19">
        <f t="shared" si="2"/>
        <v>0</v>
      </c>
      <c r="F19" s="33">
        <v>114.6</v>
      </c>
      <c r="G19">
        <f t="shared" si="2"/>
        <v>0</v>
      </c>
      <c r="H19" s="34"/>
      <c r="I19">
        <f t="shared" si="2"/>
        <v>0</v>
      </c>
      <c r="J19" s="34"/>
      <c r="K19">
        <f t="shared" si="2"/>
        <v>0</v>
      </c>
      <c r="L19" s="34"/>
      <c r="M19">
        <f t="shared" si="2"/>
        <v>0</v>
      </c>
      <c r="N19" s="34"/>
      <c r="O19">
        <f t="shared" si="2"/>
        <v>0</v>
      </c>
      <c r="P19" s="34"/>
      <c r="Q19">
        <f t="shared" si="2"/>
        <v>0</v>
      </c>
      <c r="R19" s="33">
        <v>123.4</v>
      </c>
      <c r="S19">
        <f t="shared" si="2"/>
        <v>0</v>
      </c>
      <c r="T19" s="33">
        <v>114.6</v>
      </c>
      <c r="U19">
        <f t="shared" si="2"/>
        <v>0</v>
      </c>
      <c r="V19" s="33">
        <v>101.6</v>
      </c>
      <c r="W19">
        <f t="shared" si="3"/>
        <v>0</v>
      </c>
      <c r="X19" s="34"/>
      <c r="Y19">
        <f t="shared" si="4"/>
        <v>0</v>
      </c>
    </row>
    <row r="20" spans="1:25" ht="15" x14ac:dyDescent="0.25">
      <c r="A20" s="37">
        <v>160</v>
      </c>
      <c r="B20" s="33">
        <v>147.6</v>
      </c>
      <c r="C20">
        <f t="shared" si="0"/>
        <v>0</v>
      </c>
      <c r="D20" s="33">
        <v>141</v>
      </c>
      <c r="E20">
        <f t="shared" si="2"/>
        <v>0</v>
      </c>
      <c r="F20" s="33">
        <v>130.6</v>
      </c>
      <c r="G20">
        <f t="shared" si="2"/>
        <v>0</v>
      </c>
      <c r="H20" s="34"/>
      <c r="I20">
        <f t="shared" si="2"/>
        <v>0</v>
      </c>
      <c r="J20" s="34"/>
      <c r="K20">
        <f t="shared" si="2"/>
        <v>0</v>
      </c>
      <c r="L20" s="34"/>
      <c r="M20">
        <f t="shared" si="2"/>
        <v>0</v>
      </c>
      <c r="N20" s="34"/>
      <c r="O20">
        <f t="shared" si="2"/>
        <v>0</v>
      </c>
      <c r="P20" s="34"/>
      <c r="Q20">
        <f t="shared" si="2"/>
        <v>0</v>
      </c>
      <c r="R20" s="33">
        <v>141</v>
      </c>
      <c r="S20">
        <f t="shared" si="2"/>
        <v>0</v>
      </c>
      <c r="T20" s="33">
        <v>130.80000000000001</v>
      </c>
      <c r="U20">
        <f t="shared" si="2"/>
        <v>0</v>
      </c>
      <c r="V20" s="33">
        <v>116.2</v>
      </c>
      <c r="W20">
        <f t="shared" si="3"/>
        <v>0</v>
      </c>
      <c r="X20" s="34"/>
      <c r="Y20">
        <f t="shared" si="4"/>
        <v>0</v>
      </c>
    </row>
    <row r="21" spans="1:25" ht="15" x14ac:dyDescent="0.25">
      <c r="A21" s="37">
        <v>180</v>
      </c>
      <c r="B21" s="33">
        <v>166.2</v>
      </c>
      <c r="C21">
        <f t="shared" si="0"/>
        <v>0</v>
      </c>
      <c r="D21" s="33">
        <v>158.6</v>
      </c>
      <c r="E21">
        <f t="shared" si="2"/>
        <v>0</v>
      </c>
      <c r="F21" s="33">
        <v>147.19999999999999</v>
      </c>
      <c r="G21">
        <f t="shared" si="2"/>
        <v>0</v>
      </c>
      <c r="H21" s="34"/>
      <c r="I21">
        <f t="shared" si="2"/>
        <v>0</v>
      </c>
      <c r="J21" s="34"/>
      <c r="K21">
        <f t="shared" si="2"/>
        <v>0</v>
      </c>
      <c r="L21" s="34"/>
      <c r="M21">
        <f t="shared" si="2"/>
        <v>0</v>
      </c>
      <c r="N21" s="34"/>
      <c r="O21">
        <f t="shared" si="2"/>
        <v>0</v>
      </c>
      <c r="P21" s="34"/>
      <c r="Q21">
        <f t="shared" si="2"/>
        <v>0</v>
      </c>
      <c r="R21" s="33">
        <v>158.6</v>
      </c>
      <c r="S21">
        <f t="shared" si="2"/>
        <v>0</v>
      </c>
      <c r="T21" s="33">
        <v>147.19999999999999</v>
      </c>
      <c r="U21">
        <f t="shared" si="2"/>
        <v>0</v>
      </c>
      <c r="V21" s="33">
        <v>130.80000000000001</v>
      </c>
      <c r="W21">
        <f t="shared" si="3"/>
        <v>0</v>
      </c>
      <c r="X21" s="34"/>
      <c r="Y21">
        <f t="shared" si="4"/>
        <v>0</v>
      </c>
    </row>
    <row r="22" spans="1:25" ht="15" x14ac:dyDescent="0.25">
      <c r="A22" s="37">
        <v>200</v>
      </c>
      <c r="B22" s="33">
        <v>184.6</v>
      </c>
      <c r="C22">
        <f t="shared" si="0"/>
        <v>0</v>
      </c>
      <c r="D22" s="33">
        <v>176.2</v>
      </c>
      <c r="E22">
        <f t="shared" si="2"/>
        <v>0</v>
      </c>
      <c r="F22" s="33">
        <v>163.6</v>
      </c>
      <c r="G22">
        <f t="shared" si="2"/>
        <v>0</v>
      </c>
      <c r="H22" s="34"/>
      <c r="I22">
        <f t="shared" si="2"/>
        <v>0</v>
      </c>
      <c r="J22" s="34"/>
      <c r="K22">
        <f t="shared" si="2"/>
        <v>0</v>
      </c>
      <c r="L22" s="34"/>
      <c r="M22">
        <f t="shared" si="2"/>
        <v>0</v>
      </c>
      <c r="N22" s="34"/>
      <c r="O22">
        <f t="shared" si="2"/>
        <v>0</v>
      </c>
      <c r="P22" s="34"/>
      <c r="Q22">
        <f t="shared" si="2"/>
        <v>0</v>
      </c>
      <c r="R22" s="33">
        <v>176.2</v>
      </c>
      <c r="S22">
        <f t="shared" si="2"/>
        <v>0</v>
      </c>
      <c r="T22" s="33">
        <v>163.6</v>
      </c>
      <c r="U22">
        <f t="shared" si="2"/>
        <v>0</v>
      </c>
      <c r="V22" s="33">
        <v>145.4</v>
      </c>
      <c r="W22">
        <f t="shared" si="3"/>
        <v>0</v>
      </c>
      <c r="X22" s="34"/>
      <c r="Y22">
        <f t="shared" si="4"/>
        <v>0</v>
      </c>
    </row>
    <row r="23" spans="1:25" ht="15" x14ac:dyDescent="0.25">
      <c r="A23" s="37">
        <v>225</v>
      </c>
      <c r="B23" s="33">
        <v>207.8</v>
      </c>
      <c r="C23">
        <f t="shared" si="0"/>
        <v>0</v>
      </c>
      <c r="D23" s="33">
        <v>198.2</v>
      </c>
      <c r="E23">
        <f t="shared" si="2"/>
        <v>0</v>
      </c>
      <c r="F23" s="33">
        <v>184</v>
      </c>
      <c r="G23">
        <f t="shared" si="2"/>
        <v>0</v>
      </c>
      <c r="H23" s="34"/>
      <c r="I23">
        <f t="shared" si="2"/>
        <v>0</v>
      </c>
      <c r="J23" s="34"/>
      <c r="K23">
        <f t="shared" si="2"/>
        <v>0</v>
      </c>
      <c r="L23" s="34"/>
      <c r="M23">
        <f t="shared" si="2"/>
        <v>0</v>
      </c>
      <c r="N23" s="34"/>
      <c r="O23">
        <f t="shared" si="2"/>
        <v>0</v>
      </c>
      <c r="P23" s="34"/>
      <c r="Q23">
        <f t="shared" si="2"/>
        <v>0</v>
      </c>
      <c r="R23" s="33">
        <v>198.2</v>
      </c>
      <c r="S23">
        <f t="shared" si="2"/>
        <v>0</v>
      </c>
      <c r="T23" s="33">
        <v>184</v>
      </c>
      <c r="U23">
        <f t="shared" si="2"/>
        <v>0</v>
      </c>
      <c r="V23" s="34"/>
      <c r="W23">
        <f t="shared" si="3"/>
        <v>0</v>
      </c>
      <c r="X23" s="34"/>
      <c r="Y23">
        <f t="shared" si="4"/>
        <v>0</v>
      </c>
    </row>
    <row r="24" spans="1:25" ht="15" x14ac:dyDescent="0.25">
      <c r="A24" s="37">
        <v>250</v>
      </c>
      <c r="B24" s="33">
        <v>230.8</v>
      </c>
      <c r="C24">
        <f t="shared" si="0"/>
        <v>0</v>
      </c>
      <c r="D24" s="33">
        <v>220.4</v>
      </c>
      <c r="E24">
        <f t="shared" si="2"/>
        <v>0</v>
      </c>
      <c r="F24" s="33">
        <v>204.6</v>
      </c>
      <c r="G24">
        <f t="shared" si="2"/>
        <v>0</v>
      </c>
      <c r="H24" s="34"/>
      <c r="I24">
        <f t="shared" si="2"/>
        <v>0</v>
      </c>
      <c r="J24" s="34"/>
      <c r="K24">
        <f t="shared" si="2"/>
        <v>0</v>
      </c>
      <c r="L24" s="34"/>
      <c r="M24">
        <f t="shared" si="2"/>
        <v>0</v>
      </c>
      <c r="N24" s="34"/>
      <c r="O24">
        <f t="shared" si="2"/>
        <v>0</v>
      </c>
      <c r="P24" s="34"/>
      <c r="Q24">
        <f t="shared" si="2"/>
        <v>0</v>
      </c>
      <c r="R24" s="33">
        <v>220.4</v>
      </c>
      <c r="S24">
        <f t="shared" si="2"/>
        <v>0</v>
      </c>
      <c r="T24" s="33">
        <v>204.6</v>
      </c>
      <c r="U24">
        <f t="shared" si="2"/>
        <v>0</v>
      </c>
      <c r="V24" s="34"/>
      <c r="W24">
        <f t="shared" si="3"/>
        <v>0</v>
      </c>
      <c r="X24" s="34"/>
      <c r="Y24">
        <f t="shared" si="4"/>
        <v>0</v>
      </c>
    </row>
    <row r="25" spans="1:25" ht="15" x14ac:dyDescent="0.25">
      <c r="A25" s="37">
        <v>280</v>
      </c>
      <c r="B25" s="33">
        <v>258.60000000000002</v>
      </c>
      <c r="C25">
        <f t="shared" si="0"/>
        <v>0</v>
      </c>
      <c r="D25" s="33">
        <v>246.8</v>
      </c>
      <c r="E25">
        <f t="shared" ref="E25:S25" si="5">IF(AND($C$1&gt;D25,$C$1&lt;D26),$A26,0)</f>
        <v>0</v>
      </c>
      <c r="F25" s="33">
        <v>229.2</v>
      </c>
      <c r="G25">
        <f t="shared" si="5"/>
        <v>0</v>
      </c>
      <c r="H25" s="34"/>
      <c r="I25">
        <f t="shared" si="5"/>
        <v>0</v>
      </c>
      <c r="J25" s="34"/>
      <c r="K25">
        <f t="shared" si="5"/>
        <v>0</v>
      </c>
      <c r="L25" s="34"/>
      <c r="M25">
        <f t="shared" si="5"/>
        <v>0</v>
      </c>
      <c r="N25" s="34"/>
      <c r="O25">
        <f t="shared" si="5"/>
        <v>0</v>
      </c>
      <c r="P25" s="34"/>
      <c r="Q25">
        <f t="shared" si="5"/>
        <v>0</v>
      </c>
      <c r="R25" s="33">
        <v>246.8</v>
      </c>
      <c r="S25">
        <f t="shared" si="5"/>
        <v>0</v>
      </c>
      <c r="T25" s="33">
        <v>229.2</v>
      </c>
      <c r="U25">
        <f t="shared" ref="E25:U37" si="6">IF(AND($C$1&gt;T25,$C$1&lt;T26),$A26,0)</f>
        <v>0</v>
      </c>
      <c r="V25" s="34"/>
      <c r="W25">
        <f t="shared" si="3"/>
        <v>0</v>
      </c>
      <c r="X25" s="34"/>
      <c r="Y25">
        <f t="shared" si="4"/>
        <v>0</v>
      </c>
    </row>
    <row r="26" spans="1:25" ht="15" x14ac:dyDescent="0.25">
      <c r="A26" s="37">
        <v>315</v>
      </c>
      <c r="B26" s="33">
        <v>290.8</v>
      </c>
      <c r="C26">
        <f t="shared" si="0"/>
        <v>0</v>
      </c>
      <c r="D26" s="33">
        <v>277.60000000000002</v>
      </c>
      <c r="E26">
        <f t="shared" si="6"/>
        <v>0</v>
      </c>
      <c r="F26" s="33">
        <v>257.8</v>
      </c>
      <c r="G26">
        <f t="shared" si="6"/>
        <v>0</v>
      </c>
      <c r="H26" s="34"/>
      <c r="I26">
        <f t="shared" si="6"/>
        <v>0</v>
      </c>
      <c r="J26" s="34"/>
      <c r="K26">
        <f t="shared" si="6"/>
        <v>0</v>
      </c>
      <c r="L26" s="34"/>
      <c r="M26">
        <f t="shared" si="6"/>
        <v>0</v>
      </c>
      <c r="N26" s="34"/>
      <c r="O26">
        <f t="shared" si="6"/>
        <v>0</v>
      </c>
      <c r="P26" s="34"/>
      <c r="Q26">
        <f t="shared" si="6"/>
        <v>0</v>
      </c>
      <c r="R26" s="33">
        <v>277.60000000000002</v>
      </c>
      <c r="S26">
        <f t="shared" si="6"/>
        <v>0</v>
      </c>
      <c r="T26" s="33">
        <v>257.8</v>
      </c>
      <c r="U26">
        <f t="shared" si="6"/>
        <v>0</v>
      </c>
      <c r="V26" s="34"/>
      <c r="W26">
        <f t="shared" si="3"/>
        <v>0</v>
      </c>
      <c r="X26" s="34"/>
      <c r="Y26">
        <f t="shared" si="4"/>
        <v>0</v>
      </c>
    </row>
    <row r="27" spans="1:25" ht="15" x14ac:dyDescent="0.25">
      <c r="A27" s="37">
        <v>355</v>
      </c>
      <c r="B27" s="33">
        <v>333.6</v>
      </c>
      <c r="C27">
        <f t="shared" si="0"/>
        <v>0</v>
      </c>
      <c r="D27" s="33">
        <v>312.8</v>
      </c>
      <c r="E27">
        <f t="shared" si="6"/>
        <v>0</v>
      </c>
      <c r="F27" s="33">
        <v>290.39999999999998</v>
      </c>
      <c r="G27">
        <f t="shared" si="6"/>
        <v>0</v>
      </c>
      <c r="H27" s="34"/>
      <c r="I27">
        <f t="shared" si="6"/>
        <v>0</v>
      </c>
      <c r="J27" s="34"/>
      <c r="K27">
        <f t="shared" si="6"/>
        <v>0</v>
      </c>
      <c r="L27" s="34"/>
      <c r="M27">
        <f t="shared" si="6"/>
        <v>0</v>
      </c>
      <c r="N27" s="34"/>
      <c r="O27">
        <f t="shared" si="6"/>
        <v>0</v>
      </c>
      <c r="P27" s="34"/>
      <c r="Q27">
        <f t="shared" si="6"/>
        <v>0</v>
      </c>
      <c r="R27" s="33">
        <v>312.8</v>
      </c>
      <c r="S27">
        <f t="shared" si="6"/>
        <v>0</v>
      </c>
      <c r="T27" s="34"/>
      <c r="U27">
        <f t="shared" si="6"/>
        <v>0</v>
      </c>
      <c r="V27" s="34"/>
      <c r="W27">
        <f t="shared" si="3"/>
        <v>0</v>
      </c>
      <c r="X27" s="34"/>
      <c r="Y27">
        <f t="shared" si="4"/>
        <v>0</v>
      </c>
    </row>
    <row r="28" spans="1:25" ht="15" x14ac:dyDescent="0.25">
      <c r="A28" s="37">
        <v>400</v>
      </c>
      <c r="B28" s="33">
        <v>369.2</v>
      </c>
      <c r="C28">
        <f t="shared" si="0"/>
        <v>0</v>
      </c>
      <c r="D28" s="33">
        <v>352.6</v>
      </c>
      <c r="E28">
        <f t="shared" si="6"/>
        <v>0</v>
      </c>
      <c r="F28" s="33">
        <v>327.2</v>
      </c>
      <c r="G28">
        <f t="shared" si="6"/>
        <v>0</v>
      </c>
      <c r="H28" s="34"/>
      <c r="I28">
        <f t="shared" si="6"/>
        <v>0</v>
      </c>
      <c r="J28" s="34"/>
      <c r="K28">
        <f t="shared" si="6"/>
        <v>0</v>
      </c>
      <c r="L28" s="34"/>
      <c r="M28">
        <f t="shared" si="6"/>
        <v>0</v>
      </c>
      <c r="N28" s="34"/>
      <c r="O28">
        <f t="shared" si="6"/>
        <v>0</v>
      </c>
      <c r="P28" s="34"/>
      <c r="Q28">
        <f t="shared" si="6"/>
        <v>0</v>
      </c>
      <c r="R28" s="33">
        <v>352.6</v>
      </c>
      <c r="S28">
        <f t="shared" si="6"/>
        <v>0</v>
      </c>
      <c r="T28" s="34"/>
      <c r="U28">
        <f t="shared" si="6"/>
        <v>0</v>
      </c>
      <c r="V28" s="34"/>
      <c r="W28">
        <f t="shared" si="3"/>
        <v>0</v>
      </c>
      <c r="X28" s="34"/>
      <c r="Y28">
        <f t="shared" si="4"/>
        <v>0</v>
      </c>
    </row>
    <row r="29" spans="1:25" ht="15" x14ac:dyDescent="0.25">
      <c r="A29" s="37">
        <v>450</v>
      </c>
      <c r="B29" s="33">
        <v>415.6</v>
      </c>
      <c r="C29">
        <f t="shared" si="0"/>
        <v>0</v>
      </c>
      <c r="D29" s="33">
        <v>396.6</v>
      </c>
      <c r="E29">
        <f t="shared" si="6"/>
        <v>0</v>
      </c>
      <c r="F29" s="33">
        <v>368</v>
      </c>
      <c r="G29">
        <f t="shared" si="6"/>
        <v>0</v>
      </c>
      <c r="H29" s="34"/>
      <c r="I29">
        <f t="shared" si="6"/>
        <v>0</v>
      </c>
      <c r="J29" s="34"/>
      <c r="K29">
        <f t="shared" si="6"/>
        <v>0</v>
      </c>
      <c r="L29" s="34"/>
      <c r="M29">
        <f t="shared" si="6"/>
        <v>0</v>
      </c>
      <c r="N29" s="34"/>
      <c r="O29">
        <f t="shared" si="6"/>
        <v>0</v>
      </c>
      <c r="P29" s="34"/>
      <c r="Q29">
        <f t="shared" si="6"/>
        <v>0</v>
      </c>
      <c r="R29" s="33">
        <v>396.6</v>
      </c>
      <c r="S29">
        <f t="shared" si="6"/>
        <v>0</v>
      </c>
      <c r="T29" s="34"/>
      <c r="U29">
        <f t="shared" si="6"/>
        <v>0</v>
      </c>
      <c r="V29" s="34"/>
      <c r="W29">
        <f t="shared" si="3"/>
        <v>0</v>
      </c>
      <c r="X29" s="34"/>
      <c r="Y29">
        <f t="shared" si="4"/>
        <v>0</v>
      </c>
    </row>
    <row r="30" spans="1:25" ht="15" x14ac:dyDescent="0.25">
      <c r="A30" s="37">
        <v>500</v>
      </c>
      <c r="B30" s="33">
        <v>461.8</v>
      </c>
      <c r="C30">
        <f t="shared" si="0"/>
        <v>0</v>
      </c>
      <c r="D30" s="33">
        <v>440.8</v>
      </c>
      <c r="E30">
        <f t="shared" si="6"/>
        <v>0</v>
      </c>
      <c r="F30" s="33">
        <v>409</v>
      </c>
      <c r="G30">
        <f t="shared" si="6"/>
        <v>0</v>
      </c>
      <c r="H30" s="34"/>
      <c r="I30">
        <f t="shared" si="6"/>
        <v>0</v>
      </c>
      <c r="J30" s="34"/>
      <c r="K30">
        <f t="shared" si="6"/>
        <v>0</v>
      </c>
      <c r="L30" s="34"/>
      <c r="M30">
        <f t="shared" si="6"/>
        <v>0</v>
      </c>
      <c r="N30" s="34"/>
      <c r="O30">
        <f t="shared" si="6"/>
        <v>0</v>
      </c>
      <c r="P30" s="34"/>
      <c r="Q30">
        <f t="shared" si="6"/>
        <v>0</v>
      </c>
      <c r="R30" s="33">
        <v>440.8</v>
      </c>
      <c r="S30">
        <f t="shared" si="6"/>
        <v>0</v>
      </c>
      <c r="T30" s="34"/>
      <c r="U30">
        <f t="shared" si="6"/>
        <v>0</v>
      </c>
      <c r="V30" s="34"/>
      <c r="W30">
        <f t="shared" si="3"/>
        <v>0</v>
      </c>
      <c r="X30" s="34"/>
      <c r="Y30">
        <f t="shared" si="4"/>
        <v>0</v>
      </c>
    </row>
    <row r="31" spans="1:25" ht="15" x14ac:dyDescent="0.25">
      <c r="A31" s="37">
        <v>560</v>
      </c>
      <c r="B31" s="33">
        <v>517.20000000000005</v>
      </c>
      <c r="C31">
        <f t="shared" si="0"/>
        <v>0</v>
      </c>
      <c r="D31" s="33">
        <v>493.6</v>
      </c>
      <c r="E31">
        <f t="shared" si="6"/>
        <v>0</v>
      </c>
      <c r="F31" s="33">
        <v>458.2</v>
      </c>
      <c r="G31">
        <f t="shared" si="6"/>
        <v>0</v>
      </c>
      <c r="H31" s="34"/>
      <c r="I31">
        <f t="shared" si="6"/>
        <v>0</v>
      </c>
      <c r="J31" s="34"/>
      <c r="K31">
        <f t="shared" si="6"/>
        <v>0</v>
      </c>
      <c r="L31" s="34"/>
      <c r="M31">
        <f t="shared" si="6"/>
        <v>0</v>
      </c>
      <c r="N31" s="34"/>
      <c r="O31">
        <f t="shared" si="6"/>
        <v>0</v>
      </c>
      <c r="P31" s="34"/>
      <c r="Q31">
        <f t="shared" si="6"/>
        <v>0</v>
      </c>
      <c r="R31" s="34"/>
      <c r="S31">
        <f t="shared" si="6"/>
        <v>0</v>
      </c>
      <c r="T31" s="34"/>
      <c r="U31">
        <f t="shared" si="6"/>
        <v>0</v>
      </c>
      <c r="V31" s="34"/>
      <c r="W31">
        <f t="shared" si="3"/>
        <v>0</v>
      </c>
      <c r="X31" s="34"/>
      <c r="Y31">
        <f t="shared" si="4"/>
        <v>0</v>
      </c>
    </row>
    <row r="32" spans="1:25" ht="15" x14ac:dyDescent="0.25">
      <c r="A32" s="37">
        <v>630</v>
      </c>
      <c r="B32" s="33">
        <v>581.79999999999995</v>
      </c>
      <c r="C32">
        <f t="shared" si="0"/>
        <v>0</v>
      </c>
      <c r="D32" s="33">
        <v>555.20000000000005</v>
      </c>
      <c r="E32">
        <f t="shared" si="6"/>
        <v>0</v>
      </c>
      <c r="F32" s="33">
        <v>515.4</v>
      </c>
      <c r="G32">
        <f t="shared" si="6"/>
        <v>0</v>
      </c>
      <c r="H32" s="34"/>
      <c r="I32">
        <f t="shared" si="6"/>
        <v>0</v>
      </c>
      <c r="J32" s="34"/>
      <c r="K32">
        <f t="shared" si="6"/>
        <v>0</v>
      </c>
      <c r="L32" s="34"/>
      <c r="M32">
        <f t="shared" si="6"/>
        <v>0</v>
      </c>
      <c r="N32" s="34"/>
      <c r="O32">
        <f t="shared" si="6"/>
        <v>0</v>
      </c>
      <c r="P32" s="34"/>
      <c r="Q32">
        <f t="shared" si="6"/>
        <v>0</v>
      </c>
      <c r="R32" s="34"/>
      <c r="S32">
        <f t="shared" si="6"/>
        <v>0</v>
      </c>
      <c r="T32" s="34"/>
      <c r="U32">
        <f t="shared" si="6"/>
        <v>0</v>
      </c>
      <c r="V32" s="34"/>
      <c r="W32">
        <f t="shared" si="3"/>
        <v>0</v>
      </c>
      <c r="X32" s="34"/>
      <c r="Y32">
        <f t="shared" si="4"/>
        <v>0</v>
      </c>
    </row>
    <row r="33" spans="1:25" ht="15" x14ac:dyDescent="0.25">
      <c r="A33" s="37">
        <v>710</v>
      </c>
      <c r="B33" s="33">
        <v>655.6</v>
      </c>
      <c r="C33">
        <f t="shared" si="0"/>
        <v>0</v>
      </c>
      <c r="D33" s="33">
        <v>626</v>
      </c>
      <c r="E33">
        <f t="shared" si="6"/>
        <v>0</v>
      </c>
      <c r="F33" s="33">
        <v>581</v>
      </c>
      <c r="G33">
        <f t="shared" si="6"/>
        <v>0</v>
      </c>
      <c r="H33" s="34"/>
      <c r="I33">
        <f t="shared" si="6"/>
        <v>0</v>
      </c>
      <c r="J33" s="34"/>
      <c r="K33">
        <f t="shared" si="6"/>
        <v>0</v>
      </c>
      <c r="L33" s="34"/>
      <c r="M33">
        <f t="shared" si="6"/>
        <v>0</v>
      </c>
      <c r="N33" s="34"/>
      <c r="O33">
        <f t="shared" si="6"/>
        <v>0</v>
      </c>
      <c r="P33" s="34"/>
      <c r="Q33">
        <f t="shared" si="6"/>
        <v>0</v>
      </c>
      <c r="R33" s="34"/>
      <c r="S33">
        <f t="shared" si="6"/>
        <v>0</v>
      </c>
      <c r="T33" s="34"/>
      <c r="U33">
        <f t="shared" si="6"/>
        <v>0</v>
      </c>
      <c r="V33" s="34"/>
      <c r="W33">
        <f t="shared" si="3"/>
        <v>0</v>
      </c>
      <c r="X33" s="34"/>
      <c r="Y33">
        <f t="shared" si="4"/>
        <v>0</v>
      </c>
    </row>
    <row r="34" spans="1:25" ht="15" x14ac:dyDescent="0.25">
      <c r="A34" s="37">
        <v>800</v>
      </c>
      <c r="B34" s="33">
        <v>738.8</v>
      </c>
      <c r="C34">
        <f t="shared" si="0"/>
        <v>0</v>
      </c>
      <c r="D34" s="33">
        <v>705.2</v>
      </c>
      <c r="E34">
        <f t="shared" si="6"/>
        <v>0</v>
      </c>
      <c r="F34" s="34"/>
      <c r="G34">
        <f t="shared" si="6"/>
        <v>0</v>
      </c>
      <c r="H34" s="34"/>
      <c r="I34">
        <f t="shared" si="6"/>
        <v>0</v>
      </c>
      <c r="J34" s="34"/>
      <c r="K34">
        <f t="shared" si="6"/>
        <v>0</v>
      </c>
      <c r="L34" s="34"/>
      <c r="M34">
        <f t="shared" si="6"/>
        <v>0</v>
      </c>
      <c r="N34" s="34"/>
      <c r="O34">
        <f t="shared" si="6"/>
        <v>0</v>
      </c>
      <c r="P34" s="34"/>
      <c r="Q34">
        <f t="shared" si="6"/>
        <v>0</v>
      </c>
      <c r="R34" s="34"/>
      <c r="S34">
        <f t="shared" si="6"/>
        <v>0</v>
      </c>
      <c r="T34" s="34"/>
      <c r="U34">
        <f t="shared" si="6"/>
        <v>0</v>
      </c>
      <c r="V34" s="34"/>
      <c r="W34">
        <f t="shared" si="3"/>
        <v>0</v>
      </c>
      <c r="X34" s="34"/>
      <c r="Y34">
        <f t="shared" si="4"/>
        <v>0</v>
      </c>
    </row>
    <row r="35" spans="1:25" ht="15" x14ac:dyDescent="0.25">
      <c r="A35" s="37">
        <v>900</v>
      </c>
      <c r="B35" s="33">
        <v>830.8</v>
      </c>
      <c r="C35">
        <f t="shared" si="0"/>
        <v>0</v>
      </c>
      <c r="D35" s="33">
        <v>793.4</v>
      </c>
      <c r="E35">
        <f t="shared" si="6"/>
        <v>0</v>
      </c>
      <c r="F35" s="34"/>
      <c r="G35">
        <f t="shared" si="6"/>
        <v>0</v>
      </c>
      <c r="H35" s="34"/>
      <c r="I35">
        <f t="shared" si="6"/>
        <v>0</v>
      </c>
      <c r="J35" s="34"/>
      <c r="K35">
        <f t="shared" si="6"/>
        <v>0</v>
      </c>
      <c r="L35" s="34"/>
      <c r="M35">
        <f t="shared" si="6"/>
        <v>0</v>
      </c>
      <c r="N35" s="34"/>
      <c r="O35">
        <f t="shared" si="6"/>
        <v>0</v>
      </c>
      <c r="P35" s="34"/>
      <c r="Q35">
        <f t="shared" si="6"/>
        <v>0</v>
      </c>
      <c r="R35" s="34"/>
      <c r="S35">
        <f t="shared" si="6"/>
        <v>0</v>
      </c>
      <c r="T35" s="34"/>
      <c r="U35">
        <f t="shared" si="6"/>
        <v>0</v>
      </c>
      <c r="V35" s="34"/>
      <c r="W35">
        <f t="shared" si="3"/>
        <v>0</v>
      </c>
      <c r="X35" s="34"/>
      <c r="Y35">
        <f t="shared" si="4"/>
        <v>0</v>
      </c>
    </row>
    <row r="36" spans="1:25" ht="15" x14ac:dyDescent="0.25">
      <c r="A36" s="37">
        <v>1000</v>
      </c>
      <c r="B36" s="33">
        <v>923</v>
      </c>
      <c r="C36">
        <f t="shared" si="0"/>
        <v>0</v>
      </c>
      <c r="D36" s="33">
        <v>881.4</v>
      </c>
      <c r="E36">
        <f t="shared" si="6"/>
        <v>0</v>
      </c>
      <c r="F36" s="34"/>
      <c r="G36">
        <f t="shared" si="6"/>
        <v>0</v>
      </c>
      <c r="H36" s="34"/>
      <c r="I36">
        <f t="shared" si="6"/>
        <v>0</v>
      </c>
      <c r="J36" s="34"/>
      <c r="K36">
        <f t="shared" si="6"/>
        <v>0</v>
      </c>
      <c r="L36" s="34"/>
      <c r="M36">
        <f t="shared" si="6"/>
        <v>0</v>
      </c>
      <c r="N36" s="34"/>
      <c r="O36">
        <f t="shared" si="6"/>
        <v>0</v>
      </c>
      <c r="P36" s="34"/>
      <c r="Q36">
        <f t="shared" si="6"/>
        <v>0</v>
      </c>
      <c r="R36" s="34"/>
      <c r="S36">
        <f t="shared" si="6"/>
        <v>0</v>
      </c>
      <c r="T36" s="34"/>
      <c r="U36">
        <f t="shared" si="6"/>
        <v>0</v>
      </c>
      <c r="V36" s="34"/>
      <c r="W36">
        <f t="shared" si="3"/>
        <v>0</v>
      </c>
      <c r="X36" s="34"/>
      <c r="Y36">
        <f t="shared" si="4"/>
        <v>0</v>
      </c>
    </row>
    <row r="37" spans="1:25" ht="15" x14ac:dyDescent="0.25">
      <c r="A37" s="37">
        <v>1200</v>
      </c>
      <c r="B37" s="33">
        <v>1107.5999999999999</v>
      </c>
      <c r="C37">
        <f t="shared" si="0"/>
        <v>0</v>
      </c>
      <c r="D37" s="34"/>
      <c r="E37">
        <f t="shared" si="6"/>
        <v>0</v>
      </c>
      <c r="F37" s="34"/>
      <c r="G37">
        <f t="shared" si="6"/>
        <v>0</v>
      </c>
      <c r="H37" s="32"/>
      <c r="I37">
        <f t="shared" si="6"/>
        <v>0</v>
      </c>
      <c r="J37" s="32"/>
      <c r="K37">
        <f t="shared" si="6"/>
        <v>0</v>
      </c>
      <c r="L37" s="32"/>
      <c r="M37">
        <f t="shared" si="6"/>
        <v>0</v>
      </c>
      <c r="N37" s="32"/>
      <c r="O37">
        <f t="shared" si="6"/>
        <v>0</v>
      </c>
      <c r="P37" s="32"/>
      <c r="Q37">
        <f t="shared" si="6"/>
        <v>0</v>
      </c>
      <c r="R37" s="32"/>
      <c r="S37">
        <f t="shared" si="6"/>
        <v>0</v>
      </c>
      <c r="T37" s="32"/>
      <c r="U37">
        <f t="shared" si="6"/>
        <v>0</v>
      </c>
      <c r="V37" s="32"/>
      <c r="W37">
        <f t="shared" si="3"/>
        <v>0</v>
      </c>
      <c r="X37" s="32"/>
      <c r="Y37">
        <f t="shared" si="4"/>
        <v>0</v>
      </c>
    </row>
    <row r="38" spans="1:25" x14ac:dyDescent="0.2">
      <c r="C38" s="42">
        <f>SUM(C8:C37)</f>
        <v>63</v>
      </c>
      <c r="E38" s="42">
        <f>SUM(E8:E37)</f>
        <v>63</v>
      </c>
      <c r="G38" s="42">
        <f>SUM(G8:G37)</f>
        <v>75</v>
      </c>
      <c r="I38" s="42">
        <f>SUM(I8:I37)</f>
        <v>75</v>
      </c>
      <c r="K38" s="42">
        <f>SUM(K8:K37)</f>
        <v>63</v>
      </c>
      <c r="M38" s="42">
        <f>SUM(M8:M37)</f>
        <v>75</v>
      </c>
      <c r="O38" s="42">
        <f>SUM(O8:O37)</f>
        <v>75</v>
      </c>
      <c r="Q38" s="42">
        <f>SUM(Q8:Q37)</f>
        <v>0</v>
      </c>
      <c r="S38" s="42">
        <f>SUM(S8:S37)</f>
        <v>63</v>
      </c>
      <c r="U38" s="42">
        <f>SUM(U8:U37)</f>
        <v>75</v>
      </c>
      <c r="W38" s="42">
        <f>SUM(W8:W37)</f>
        <v>75</v>
      </c>
      <c r="Y38" s="42">
        <f>SUM(Y8:Y37)</f>
        <v>0</v>
      </c>
    </row>
    <row r="40" spans="1:25" x14ac:dyDescent="0.2">
      <c r="A40" s="31" t="s">
        <v>72</v>
      </c>
    </row>
    <row r="41" spans="1:25" ht="15" x14ac:dyDescent="0.2">
      <c r="A41" s="31">
        <v>1</v>
      </c>
      <c r="B41" s="38" t="s">
        <v>71</v>
      </c>
      <c r="C41" s="35" t="s">
        <v>68</v>
      </c>
      <c r="D41" s="31" t="str">
        <f t="shared" ref="D41:D52" si="7">CONCATENATE(B41, E41,C41)</f>
        <v>PE32 - 2,5 atm</v>
      </c>
      <c r="E41" s="31" t="s">
        <v>73</v>
      </c>
    </row>
    <row r="42" spans="1:25" ht="15" x14ac:dyDescent="0.2">
      <c r="A42" s="31">
        <v>2</v>
      </c>
      <c r="B42" s="38" t="s">
        <v>71</v>
      </c>
      <c r="C42" s="35" t="s">
        <v>64</v>
      </c>
      <c r="D42" s="31" t="str">
        <f t="shared" si="7"/>
        <v>PE32 - 4 atm</v>
      </c>
      <c r="E42" s="31" t="s">
        <v>73</v>
      </c>
    </row>
    <row r="43" spans="1:25" ht="15" x14ac:dyDescent="0.2">
      <c r="A43" s="31">
        <v>3</v>
      </c>
      <c r="B43" s="38" t="s">
        <v>71</v>
      </c>
      <c r="C43" s="35" t="s">
        <v>65</v>
      </c>
      <c r="D43" s="31" t="str">
        <f t="shared" si="7"/>
        <v>PE32 - 6 atm</v>
      </c>
      <c r="E43" s="31" t="s">
        <v>73</v>
      </c>
    </row>
    <row r="44" spans="1:25" ht="15" x14ac:dyDescent="0.2">
      <c r="A44" s="31">
        <v>4</v>
      </c>
      <c r="B44" s="38" t="s">
        <v>71</v>
      </c>
      <c r="C44" s="35" t="s">
        <v>66</v>
      </c>
      <c r="D44" s="31" t="str">
        <f t="shared" si="7"/>
        <v>PE32 - 10 atm</v>
      </c>
      <c r="E44" s="31" t="s">
        <v>73</v>
      </c>
    </row>
    <row r="45" spans="1:25" ht="15" x14ac:dyDescent="0.2">
      <c r="A45" s="31">
        <v>5</v>
      </c>
      <c r="B45" s="38" t="s">
        <v>71</v>
      </c>
      <c r="C45" s="35" t="s">
        <v>67</v>
      </c>
      <c r="D45" s="31" t="str">
        <f t="shared" si="7"/>
        <v>PE32 - 16 atm</v>
      </c>
      <c r="E45" s="31" t="s">
        <v>73</v>
      </c>
    </row>
    <row r="46" spans="1:25" ht="15" x14ac:dyDescent="0.2">
      <c r="A46" s="31">
        <v>6</v>
      </c>
      <c r="B46" s="38" t="s">
        <v>70</v>
      </c>
      <c r="C46" s="35" t="s">
        <v>65</v>
      </c>
      <c r="D46" s="31" t="str">
        <f t="shared" si="7"/>
        <v>PE50 - 6 atm</v>
      </c>
      <c r="E46" s="31" t="s">
        <v>73</v>
      </c>
    </row>
    <row r="47" spans="1:25" ht="15" x14ac:dyDescent="0.2">
      <c r="A47" s="31">
        <v>7</v>
      </c>
      <c r="B47" s="38" t="s">
        <v>70</v>
      </c>
      <c r="C47" s="35" t="s">
        <v>66</v>
      </c>
      <c r="D47" s="31" t="str">
        <f t="shared" si="7"/>
        <v>PE50 - 10 atm</v>
      </c>
      <c r="E47" s="31" t="s">
        <v>73</v>
      </c>
    </row>
    <row r="48" spans="1:25" ht="15" x14ac:dyDescent="0.2">
      <c r="A48" s="31">
        <v>8</v>
      </c>
      <c r="B48" s="38" t="s">
        <v>70</v>
      </c>
      <c r="C48" s="35" t="s">
        <v>67</v>
      </c>
      <c r="D48" s="31" t="str">
        <f t="shared" si="7"/>
        <v>PE50 - 16 atm</v>
      </c>
      <c r="E48" s="31" t="s">
        <v>73</v>
      </c>
    </row>
    <row r="49" spans="1:5" ht="15" x14ac:dyDescent="0.2">
      <c r="A49" s="31">
        <v>9</v>
      </c>
      <c r="B49" s="38" t="s">
        <v>69</v>
      </c>
      <c r="C49" s="35" t="s">
        <v>64</v>
      </c>
      <c r="D49" s="31" t="str">
        <f t="shared" si="7"/>
        <v>PE100 - 4 atm</v>
      </c>
      <c r="E49" s="31" t="s">
        <v>73</v>
      </c>
    </row>
    <row r="50" spans="1:5" ht="15" x14ac:dyDescent="0.2">
      <c r="A50" s="31">
        <v>10</v>
      </c>
      <c r="B50" s="38" t="s">
        <v>69</v>
      </c>
      <c r="C50" s="35" t="s">
        <v>65</v>
      </c>
      <c r="D50" s="31" t="str">
        <f t="shared" si="7"/>
        <v>PE100 - 6 atm</v>
      </c>
      <c r="E50" s="31" t="s">
        <v>73</v>
      </c>
    </row>
    <row r="51" spans="1:5" ht="15" x14ac:dyDescent="0.2">
      <c r="A51" s="31">
        <v>11</v>
      </c>
      <c r="B51" s="38" t="s">
        <v>69</v>
      </c>
      <c r="C51" s="35" t="s">
        <v>66</v>
      </c>
      <c r="D51" s="31" t="str">
        <f t="shared" si="7"/>
        <v>PE100 - 10 atm</v>
      </c>
      <c r="E51" s="31" t="s">
        <v>73</v>
      </c>
    </row>
    <row r="52" spans="1:5" ht="15" x14ac:dyDescent="0.2">
      <c r="A52" s="31">
        <v>12</v>
      </c>
      <c r="B52" s="38" t="s">
        <v>69</v>
      </c>
      <c r="C52" s="35" t="s">
        <v>67</v>
      </c>
      <c r="D52" s="31" t="str">
        <f t="shared" si="7"/>
        <v>PE100 - 16 atm</v>
      </c>
      <c r="E52" s="31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"/>
  <sheetViews>
    <sheetView showGridLines="0" topLeftCell="A4" workbookViewId="0">
      <selection activeCell="C11" sqref="C11"/>
    </sheetView>
  </sheetViews>
  <sheetFormatPr baseColWidth="10" defaultRowHeight="15" x14ac:dyDescent="0.25"/>
  <cols>
    <col min="1" max="1" width="12.7109375" customWidth="1"/>
  </cols>
  <sheetData>
    <row r="1" spans="1:5" x14ac:dyDescent="0.25">
      <c r="B1" t="s">
        <v>82</v>
      </c>
      <c r="C1" s="1" t="s">
        <v>83</v>
      </c>
      <c r="D1" s="1" t="s">
        <v>84</v>
      </c>
      <c r="E1" t="s">
        <v>85</v>
      </c>
    </row>
    <row r="2" spans="1:5" x14ac:dyDescent="0.25">
      <c r="B2" s="54">
        <f>'Datos y Resultado'!B5</f>
        <v>10</v>
      </c>
      <c r="C2" s="54">
        <f>'Datos y Resultado'!B5-'Datos y Resultado'!B6</f>
        <v>5</v>
      </c>
      <c r="D2" s="5">
        <f>IF(C2='Datos y Resultado'!B5,1,2)</f>
        <v>2</v>
      </c>
      <c r="E2" s="55">
        <f>calculos!B4</f>
        <v>1</v>
      </c>
    </row>
    <row r="3" spans="1:5" x14ac:dyDescent="0.25">
      <c r="A3" s="19" t="s">
        <v>8</v>
      </c>
    </row>
    <row r="4" spans="1:5" x14ac:dyDescent="0.25">
      <c r="A4" t="s">
        <v>86</v>
      </c>
      <c r="B4">
        <v>1</v>
      </c>
      <c r="D4">
        <v>2</v>
      </c>
    </row>
    <row r="5" spans="1:5" x14ac:dyDescent="0.25">
      <c r="A5" t="s">
        <v>87</v>
      </c>
      <c r="B5">
        <v>1</v>
      </c>
      <c r="C5">
        <v>2</v>
      </c>
      <c r="D5">
        <v>1</v>
      </c>
      <c r="E5">
        <v>2</v>
      </c>
    </row>
    <row r="6" spans="1:5" x14ac:dyDescent="0.25">
      <c r="B6" t="s">
        <v>13</v>
      </c>
      <c r="D6" t="s">
        <v>14</v>
      </c>
    </row>
    <row r="7" spans="1:5" x14ac:dyDescent="0.25">
      <c r="B7" s="3">
        <v>1.75</v>
      </c>
      <c r="C7" s="4">
        <v>1.8</v>
      </c>
      <c r="D7" s="3">
        <v>1.75</v>
      </c>
      <c r="E7" s="4">
        <v>1.8</v>
      </c>
    </row>
    <row r="8" spans="1:5" x14ac:dyDescent="0.25">
      <c r="A8" s="22">
        <v>1</v>
      </c>
      <c r="B8" s="2">
        <f>Fcris($B$7,A8)</f>
        <v>1.0079739309337701</v>
      </c>
      <c r="C8" s="2">
        <f>Fcris($C$7,A8)</f>
        <v>1.0062140556428432</v>
      </c>
      <c r="D8" s="2">
        <f>Fcriss($D$7,A8)</f>
        <v>1.0159478618675402</v>
      </c>
      <c r="E8" s="2">
        <f>Fcriss($E$7,A8)</f>
        <v>1.0124281112856863</v>
      </c>
    </row>
    <row r="9" spans="1:5" x14ac:dyDescent="0.25">
      <c r="A9">
        <v>2</v>
      </c>
      <c r="B9" s="2">
        <f>Fcris($B$7,A9)</f>
        <v>0.64972075546071528</v>
      </c>
      <c r="C9" s="2">
        <f>Fcris($C$7,A9)</f>
        <v>0.6444106567678537</v>
      </c>
      <c r="D9" s="2">
        <f>Fcriss($D$7,A9)</f>
        <v>0.53296100728095364</v>
      </c>
      <c r="E9" s="2">
        <f>Fcriss($E$7,A9)</f>
        <v>0.52588087569047148</v>
      </c>
    </row>
    <row r="10" spans="1:5" x14ac:dyDescent="0.25">
      <c r="A10">
        <v>3</v>
      </c>
      <c r="B10" s="2">
        <f>Fcris($B$7,A10)</f>
        <v>0.54634053778051983</v>
      </c>
      <c r="C10" s="2">
        <f>Fcris($C$7,A10)</f>
        <v>0.54037299030952224</v>
      </c>
      <c r="D10" s="2">
        <f>Fcriss($D$7,A10)</f>
        <v>0.45560864533662387</v>
      </c>
      <c r="E10" s="2">
        <f>Fcriss($E$7,A10)</f>
        <v>0.44844758837142673</v>
      </c>
    </row>
    <row r="11" spans="1:5" x14ac:dyDescent="0.25">
      <c r="A11">
        <v>4</v>
      </c>
      <c r="B11" s="2">
        <f>Fcris($B$7,A11)</f>
        <v>0.49765746159245156</v>
      </c>
      <c r="C11" s="2">
        <f>Fcris($C$7,A11)</f>
        <v>0.4914598070491063</v>
      </c>
      <c r="D11" s="2">
        <f>Fcriss($D$7,A11)</f>
        <v>0.42589424181994462</v>
      </c>
      <c r="E11" s="2">
        <f>Fcriss($E$7,A11)</f>
        <v>0.41881120805612149</v>
      </c>
    </row>
    <row r="12" spans="1:5" x14ac:dyDescent="0.25">
      <c r="A12">
        <v>5</v>
      </c>
      <c r="B12" s="2">
        <f>Fcris($B$7,A12)</f>
        <v>0.46940986632825987</v>
      </c>
      <c r="C12" s="2">
        <f>Fcris($C$7,A12)</f>
        <v>0.46310570508285664</v>
      </c>
      <c r="D12" s="2">
        <f>Fcriss($D$7,A12)</f>
        <v>0.41045540703139988</v>
      </c>
      <c r="E12" s="2">
        <f>Fcriss($E$7,A12)</f>
        <v>0.40345078342539625</v>
      </c>
    </row>
    <row r="13" spans="1:5" x14ac:dyDescent="0.25">
      <c r="A13">
        <v>6</v>
      </c>
      <c r="B13" s="2">
        <f>Fcris($B$7,A13)</f>
        <v>0.45097907383906938</v>
      </c>
      <c r="C13" s="2">
        <f>Fcris($C$7,A13)</f>
        <v>0.44461705710119009</v>
      </c>
      <c r="D13" s="2">
        <f>Fcriss($D$7,A13)</f>
        <v>0.40106808055171206</v>
      </c>
      <c r="E13" s="2">
        <f>Fcriss($E$7,A13)</f>
        <v>0.39412769865584374</v>
      </c>
    </row>
    <row r="14" spans="1:5" x14ac:dyDescent="0.25">
      <c r="A14">
        <v>7</v>
      </c>
      <c r="B14" s="2">
        <f>Fcris($B$7,A14)</f>
        <v>0.43801059970365763</v>
      </c>
      <c r="C14" s="2">
        <f>Fcris($C$7,A14)</f>
        <v>0.43161369792857118</v>
      </c>
      <c r="D14" s="2">
        <f>Fcriss($D$7,A14)</f>
        <v>0.39478064583470823</v>
      </c>
      <c r="E14" s="2">
        <f>Fcriss($E$7,A14)</f>
        <v>0.3878916746923074</v>
      </c>
    </row>
    <row r="15" spans="1:5" x14ac:dyDescent="0.25">
      <c r="A15">
        <v>8</v>
      </c>
      <c r="B15" s="2">
        <f>Fcris($B$7,A15)</f>
        <v>0.42839163812538561</v>
      </c>
      <c r="C15" s="2">
        <f>Fcris($C$7,A15)</f>
        <v>0.42197209461941942</v>
      </c>
      <c r="D15" s="2">
        <f>Fcriss($D$7,A15)</f>
        <v>0.39028441400041131</v>
      </c>
      <c r="E15" s="2">
        <f>Fcriss($E$7,A15)</f>
        <v>0.3834369009273807</v>
      </c>
    </row>
    <row r="16" spans="1:5" x14ac:dyDescent="0.25">
      <c r="A16">
        <v>9</v>
      </c>
      <c r="B16" s="2">
        <f>Fcris($B$7,A16)</f>
        <v>0.42097386446719587</v>
      </c>
      <c r="C16" s="2">
        <f>Fcris($C$7,A16)</f>
        <v>0.41453879786507919</v>
      </c>
      <c r="D16" s="2">
        <f>Fcriss($D$7,A16)</f>
        <v>0.38691350355350146</v>
      </c>
      <c r="E16" s="2">
        <f>Fcriss($E$7,A16)</f>
        <v>0.38009990362184859</v>
      </c>
    </row>
    <row r="17" spans="1:5" x14ac:dyDescent="0.25">
      <c r="A17">
        <v>10</v>
      </c>
      <c r="B17" s="2">
        <f>Fcris($B$7,A17)</f>
        <v>0.41507973930933773</v>
      </c>
      <c r="C17" s="2">
        <f>Fcris($C$7,A17)</f>
        <v>0.40863356912785698</v>
      </c>
      <c r="D17" s="2">
        <f>Fcriss($D$7,A17)</f>
        <v>0.38429446243088183</v>
      </c>
      <c r="E17" s="2">
        <f>Fcriss($E$7,A17)</f>
        <v>0.37750902013458626</v>
      </c>
    </row>
    <row r="18" spans="1:5" x14ac:dyDescent="0.25">
      <c r="A18">
        <v>11</v>
      </c>
      <c r="B18" s="2">
        <f>Fcris($B$7,A18)</f>
        <v>0.41028378154791245</v>
      </c>
      <c r="C18" s="2">
        <f>Fcris($C$7,A18)</f>
        <v>0.40382939597343559</v>
      </c>
      <c r="D18" s="2">
        <f>Fcriss($D$7,A18)</f>
        <v>0.38220205685971781</v>
      </c>
      <c r="E18" s="2">
        <f>Fcriss($E$7,A18)</f>
        <v>0.37544031959121826</v>
      </c>
    </row>
    <row r="19" spans="1:5" x14ac:dyDescent="0.25">
      <c r="A19">
        <v>12</v>
      </c>
      <c r="B19" s="2">
        <f>Fcris($B$7,A19)</f>
        <v>0.40630537452037341</v>
      </c>
      <c r="C19" s="2">
        <f>Fcris($C$7,A19)</f>
        <v>0.39984474046577373</v>
      </c>
      <c r="D19" s="2">
        <f>Fcriss($D$7,A19)</f>
        <v>0.38049256471691134</v>
      </c>
      <c r="E19" s="2">
        <f>Fcriss($E$7,A19)</f>
        <v>0.37375103352950301</v>
      </c>
    </row>
    <row r="20" spans="1:5" x14ac:dyDescent="0.25">
      <c r="A20">
        <v>13</v>
      </c>
      <c r="B20" s="2">
        <f>Fcris($B$7,A20)</f>
        <v>0.40295197054344889</v>
      </c>
      <c r="C20" s="2">
        <f>Fcris($C$7,A20)</f>
        <v>0.39648647370202872</v>
      </c>
      <c r="D20" s="2">
        <f>Fcriss($D$7,A20)</f>
        <v>0.3790700493651869</v>
      </c>
      <c r="E20" s="2">
        <f>Fcriss($E$7,A20)</f>
        <v>0.37234593265010985</v>
      </c>
    </row>
    <row r="21" spans="1:5" x14ac:dyDescent="0.25">
      <c r="A21">
        <v>14</v>
      </c>
      <c r="B21" s="2">
        <f>Fcris($B$7,A21)</f>
        <v>0.40008706551032996</v>
      </c>
      <c r="C21" s="2">
        <f>Fcris($C$7,A21)</f>
        <v>0.39361771019642849</v>
      </c>
      <c r="D21" s="2">
        <f>Fcriss($D$7,A21)</f>
        <v>0.37786806793663846</v>
      </c>
      <c r="E21" s="2">
        <f>Fcriss($E$7,A21)</f>
        <v>0.37115910687037029</v>
      </c>
    </row>
    <row r="22" spans="1:5" x14ac:dyDescent="0.25">
      <c r="A22">
        <v>15</v>
      </c>
      <c r="B22" s="2">
        <f>Fcris($B$7,A22)</f>
        <v>0.39761119726879657</v>
      </c>
      <c r="C22" s="2">
        <f>Fcris($C$7,A22)</f>
        <v>0.39113872913619041</v>
      </c>
      <c r="D22" s="2">
        <f>Fcriss($D$7,A22)</f>
        <v>0.37683916958841029</v>
      </c>
      <c r="E22" s="2">
        <f>Fcriss($E$7,A22)</f>
        <v>0.37014351289950737</v>
      </c>
    </row>
    <row r="23" spans="1:5" x14ac:dyDescent="0.25">
      <c r="A23">
        <v>16</v>
      </c>
      <c r="B23" s="2">
        <f>Fcris($B$7,A23)</f>
        <v>0.39545018225861917</v>
      </c>
      <c r="C23" s="2">
        <f>Fcris($C$7,A23)</f>
        <v>0.38897516651199771</v>
      </c>
      <c r="D23" s="2">
        <f>Fcriss($D$7,A23)</f>
        <v>0.37594857523470365</v>
      </c>
      <c r="E23" s="2">
        <f>Fcriss($E$7,A23)</f>
        <v>0.36926468801238471</v>
      </c>
    </row>
    <row r="24" spans="1:5" x14ac:dyDescent="0.25">
      <c r="A24">
        <v>17</v>
      </c>
      <c r="B24" s="2">
        <f>Fcris($B$7,A24)</f>
        <v>0.393547566291372</v>
      </c>
      <c r="C24" s="2">
        <f>Fcris($C$7,A24)</f>
        <v>0.38707043914458722</v>
      </c>
      <c r="D24" s="2">
        <f>Fcriss($D$7,A24)</f>
        <v>0.37517021981535292</v>
      </c>
      <c r="E24" s="2">
        <f>Fcriss($E$7,A24)</f>
        <v>0.3684968160883626</v>
      </c>
    </row>
    <row r="25" spans="1:5" x14ac:dyDescent="0.25">
      <c r="A25">
        <v>18</v>
      </c>
      <c r="B25" s="2">
        <f>Fcris($B$7,A25)</f>
        <v>0.39185962773296057</v>
      </c>
      <c r="C25" s="2">
        <f>Fcris($C$7,A25)</f>
        <v>0.38538073121230154</v>
      </c>
      <c r="D25" s="2">
        <f>Fcriss($D$7,A25)</f>
        <v>0.37448418852533083</v>
      </c>
      <c r="E25" s="2">
        <f>Fcriss($E$7,A25)</f>
        <v>0.36782018067551009</v>
      </c>
    </row>
    <row r="26" spans="1:5" x14ac:dyDescent="0.25">
      <c r="A26">
        <v>19</v>
      </c>
      <c r="B26" s="2">
        <f>Fcris($B$7,A26)</f>
        <v>0.39035198016627332</v>
      </c>
      <c r="C26" s="2">
        <f>Fcris($C$7,A26)</f>
        <v>0.38387158622457457</v>
      </c>
      <c r="D26" s="2">
        <f>Fcriss($D$7,A26)</f>
        <v>0.37387500665725371</v>
      </c>
      <c r="E26" s="2">
        <f>Fcriss($E$7,A26)</f>
        <v>0.36721946693334678</v>
      </c>
    </row>
    <row r="27" spans="1:5" x14ac:dyDescent="0.25">
      <c r="A27">
        <v>20</v>
      </c>
      <c r="B27" s="2">
        <f>Fcris($B$7,A27)</f>
        <v>0.38899720755460721</v>
      </c>
      <c r="C27" s="2">
        <f>Fcris($C$7,A27)</f>
        <v>0.38251553513910713</v>
      </c>
      <c r="D27" s="2">
        <f>Fcriss($D$7,A27)</f>
        <v>0.37333046928677655</v>
      </c>
      <c r="E27" s="2">
        <f>Fcriss($E$7,A27)</f>
        <v>0.36668260014267395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6"/>
  <sheetViews>
    <sheetView zoomScale="90" zoomScaleNormal="90" workbookViewId="0">
      <selection activeCell="G36" sqref="G36"/>
    </sheetView>
  </sheetViews>
  <sheetFormatPr baseColWidth="10" defaultRowHeight="15" x14ac:dyDescent="0.25"/>
  <cols>
    <col min="4" max="4" width="16.140625" customWidth="1"/>
  </cols>
  <sheetData>
    <row r="1" spans="1:7" x14ac:dyDescent="0.25">
      <c r="A1" s="4" t="s">
        <v>27</v>
      </c>
      <c r="B1" s="4" t="s">
        <v>28</v>
      </c>
      <c r="C1" s="23" t="s">
        <v>29</v>
      </c>
      <c r="D1" s="4" t="s">
        <v>30</v>
      </c>
      <c r="E1" s="4" t="s">
        <v>31</v>
      </c>
      <c r="F1" s="24"/>
      <c r="G1" s="25">
        <f>calculos!D15</f>
        <v>33.378398101349795</v>
      </c>
    </row>
    <row r="2" spans="1:7" x14ac:dyDescent="0.25">
      <c r="A2" s="4"/>
      <c r="B2" s="4"/>
      <c r="C2" s="23"/>
      <c r="D2" s="4"/>
      <c r="E2" s="4"/>
      <c r="F2" s="24"/>
    </row>
    <row r="3" spans="1:7" x14ac:dyDescent="0.25">
      <c r="A3" s="26">
        <v>1</v>
      </c>
      <c r="B3" s="26">
        <f>C3-4</f>
        <v>46</v>
      </c>
      <c r="C3" s="26">
        <v>50</v>
      </c>
      <c r="D3" s="26" t="s">
        <v>32</v>
      </c>
      <c r="E3" s="26">
        <v>60</v>
      </c>
      <c r="F3" s="24"/>
      <c r="G3">
        <f t="shared" ref="G3:G34" si="0">IF(AND($G$1&gt;B3,$G$1&lt;B4),B4,0)</f>
        <v>0</v>
      </c>
    </row>
    <row r="4" spans="1:7" x14ac:dyDescent="0.25">
      <c r="A4" s="26">
        <v>2</v>
      </c>
      <c r="B4" s="26">
        <f t="shared" ref="B4:B18" si="1">C4-4</f>
        <v>59</v>
      </c>
      <c r="C4" s="26">
        <v>63</v>
      </c>
      <c r="D4" s="26" t="s">
        <v>33</v>
      </c>
      <c r="E4" s="26">
        <v>60</v>
      </c>
      <c r="F4" s="24"/>
      <c r="G4">
        <f t="shared" si="0"/>
        <v>0</v>
      </c>
    </row>
    <row r="5" spans="1:7" x14ac:dyDescent="0.25">
      <c r="A5" s="26">
        <v>3</v>
      </c>
      <c r="B5" s="26">
        <f t="shared" si="1"/>
        <v>71</v>
      </c>
      <c r="C5" s="26">
        <v>75</v>
      </c>
      <c r="D5" s="26" t="s">
        <v>34</v>
      </c>
      <c r="E5" s="26">
        <v>60</v>
      </c>
      <c r="F5" s="24"/>
      <c r="G5">
        <f t="shared" si="0"/>
        <v>0</v>
      </c>
    </row>
    <row r="6" spans="1:7" x14ac:dyDescent="0.25">
      <c r="A6" s="26">
        <v>4</v>
      </c>
      <c r="B6" s="26">
        <f t="shared" si="1"/>
        <v>86</v>
      </c>
      <c r="C6" s="26">
        <v>90</v>
      </c>
      <c r="D6" s="26" t="s">
        <v>35</v>
      </c>
      <c r="E6" s="26">
        <v>60</v>
      </c>
      <c r="F6" s="24"/>
      <c r="G6">
        <f t="shared" si="0"/>
        <v>0</v>
      </c>
    </row>
    <row r="7" spans="1:7" x14ac:dyDescent="0.25">
      <c r="A7" s="26">
        <v>5</v>
      </c>
      <c r="B7" s="26">
        <f>C7-4</f>
        <v>106</v>
      </c>
      <c r="C7" s="26">
        <v>110</v>
      </c>
      <c r="D7" s="26" t="s">
        <v>36</v>
      </c>
      <c r="E7" s="26">
        <v>60</v>
      </c>
      <c r="F7" s="24"/>
      <c r="G7">
        <f>IF(AND($G$1&gt;B7,$G$1&lt;B8),B8,0)</f>
        <v>0</v>
      </c>
    </row>
    <row r="8" spans="1:7" x14ac:dyDescent="0.25">
      <c r="A8" s="26">
        <v>6</v>
      </c>
      <c r="B8" s="26">
        <f t="shared" si="1"/>
        <v>121</v>
      </c>
      <c r="C8" s="26">
        <v>125</v>
      </c>
      <c r="D8" s="26" t="s">
        <v>37</v>
      </c>
      <c r="E8" s="26">
        <v>60</v>
      </c>
      <c r="F8" s="24"/>
      <c r="G8">
        <f t="shared" si="0"/>
        <v>0</v>
      </c>
    </row>
    <row r="9" spans="1:7" x14ac:dyDescent="0.25">
      <c r="A9" s="26">
        <v>7</v>
      </c>
      <c r="B9" s="26">
        <f t="shared" si="1"/>
        <v>136</v>
      </c>
      <c r="C9" s="26">
        <v>140</v>
      </c>
      <c r="D9" s="26" t="s">
        <v>38</v>
      </c>
      <c r="E9" s="26">
        <v>60</v>
      </c>
      <c r="F9" s="24"/>
      <c r="G9">
        <f t="shared" si="0"/>
        <v>0</v>
      </c>
    </row>
    <row r="10" spans="1:7" x14ac:dyDescent="0.25">
      <c r="A10" s="26">
        <v>8</v>
      </c>
      <c r="B10" s="26">
        <f t="shared" si="1"/>
        <v>156</v>
      </c>
      <c r="C10" s="26">
        <v>160</v>
      </c>
      <c r="D10" s="26" t="s">
        <v>39</v>
      </c>
      <c r="E10" s="26">
        <v>60</v>
      </c>
      <c r="F10" s="24"/>
      <c r="G10">
        <f t="shared" si="0"/>
        <v>0</v>
      </c>
    </row>
    <row r="11" spans="1:7" x14ac:dyDescent="0.25">
      <c r="A11" s="26">
        <v>9</v>
      </c>
      <c r="B11" s="26">
        <f t="shared" si="1"/>
        <v>176</v>
      </c>
      <c r="C11" s="26">
        <v>180</v>
      </c>
      <c r="D11" s="26" t="s">
        <v>40</v>
      </c>
      <c r="E11" s="26">
        <v>60</v>
      </c>
      <c r="F11" s="24"/>
      <c r="G11">
        <f t="shared" si="0"/>
        <v>0</v>
      </c>
    </row>
    <row r="12" spans="1:7" x14ac:dyDescent="0.25">
      <c r="A12" s="26">
        <v>10</v>
      </c>
      <c r="B12" s="26">
        <f t="shared" si="1"/>
        <v>196</v>
      </c>
      <c r="C12" s="26">
        <v>200</v>
      </c>
      <c r="D12" s="26" t="s">
        <v>41</v>
      </c>
      <c r="E12" s="26">
        <v>60</v>
      </c>
      <c r="F12" s="24"/>
      <c r="G12">
        <f t="shared" si="0"/>
        <v>0</v>
      </c>
    </row>
    <row r="13" spans="1:7" x14ac:dyDescent="0.25">
      <c r="A13" s="26">
        <v>11</v>
      </c>
      <c r="B13" s="26">
        <f t="shared" si="1"/>
        <v>246</v>
      </c>
      <c r="C13" s="26">
        <v>250</v>
      </c>
      <c r="D13" s="26" t="s">
        <v>42</v>
      </c>
      <c r="E13" s="26">
        <v>60</v>
      </c>
      <c r="F13" s="24"/>
      <c r="G13">
        <f t="shared" si="0"/>
        <v>0</v>
      </c>
    </row>
    <row r="14" spans="1:7" x14ac:dyDescent="0.25">
      <c r="A14" s="26">
        <v>12</v>
      </c>
      <c r="B14" s="26">
        <f t="shared" si="1"/>
        <v>311</v>
      </c>
      <c r="C14" s="26">
        <v>315</v>
      </c>
      <c r="D14" s="26" t="s">
        <v>43</v>
      </c>
      <c r="E14" s="26">
        <v>60</v>
      </c>
      <c r="F14" s="24"/>
      <c r="G14">
        <f t="shared" si="0"/>
        <v>0</v>
      </c>
    </row>
    <row r="15" spans="1:7" x14ac:dyDescent="0.25">
      <c r="A15" s="26">
        <v>13</v>
      </c>
      <c r="B15" s="26">
        <f t="shared" si="1"/>
        <v>351</v>
      </c>
      <c r="C15" s="26">
        <v>355</v>
      </c>
      <c r="D15" s="26" t="s">
        <v>44</v>
      </c>
      <c r="E15" s="26">
        <v>60</v>
      </c>
      <c r="F15" s="24"/>
      <c r="G15">
        <f t="shared" si="0"/>
        <v>0</v>
      </c>
    </row>
    <row r="16" spans="1:7" x14ac:dyDescent="0.25">
      <c r="A16" s="26">
        <v>14</v>
      </c>
      <c r="B16" s="26">
        <f t="shared" si="1"/>
        <v>396</v>
      </c>
      <c r="C16" s="26">
        <v>400</v>
      </c>
      <c r="D16" s="26" t="s">
        <v>45</v>
      </c>
      <c r="E16" s="26">
        <v>60</v>
      </c>
      <c r="F16" s="24"/>
      <c r="G16">
        <f t="shared" si="0"/>
        <v>0</v>
      </c>
    </row>
    <row r="17" spans="1:7" x14ac:dyDescent="0.25">
      <c r="A17" s="26">
        <v>15</v>
      </c>
      <c r="B17" s="26">
        <f t="shared" si="1"/>
        <v>496</v>
      </c>
      <c r="C17" s="26">
        <v>500</v>
      </c>
      <c r="D17" s="26" t="s">
        <v>46</v>
      </c>
      <c r="E17" s="26">
        <v>60</v>
      </c>
      <c r="F17" s="24"/>
      <c r="G17">
        <f t="shared" si="0"/>
        <v>0</v>
      </c>
    </row>
    <row r="18" spans="1:7" x14ac:dyDescent="0.25">
      <c r="A18" s="26">
        <v>16</v>
      </c>
      <c r="B18" s="26">
        <f t="shared" si="1"/>
        <v>596</v>
      </c>
      <c r="C18" s="26">
        <v>600</v>
      </c>
      <c r="D18" s="26" t="s">
        <v>47</v>
      </c>
      <c r="E18" s="26">
        <v>60</v>
      </c>
      <c r="F18" s="24"/>
      <c r="G18">
        <f t="shared" si="0"/>
        <v>0</v>
      </c>
    </row>
    <row r="19" spans="1:7" x14ac:dyDescent="0.25">
      <c r="A19" s="27">
        <v>1</v>
      </c>
      <c r="B19" s="26">
        <v>41</v>
      </c>
      <c r="C19" s="27">
        <v>50</v>
      </c>
      <c r="D19" s="27" t="s">
        <v>48</v>
      </c>
      <c r="E19" s="27">
        <v>100</v>
      </c>
      <c r="F19" s="28"/>
      <c r="G19">
        <f t="shared" si="0"/>
        <v>0</v>
      </c>
    </row>
    <row r="20" spans="1:7" x14ac:dyDescent="0.25">
      <c r="A20" s="27">
        <v>2</v>
      </c>
      <c r="B20" s="26">
        <f t="shared" ref="B20:B34" si="2">C20-6</f>
        <v>57</v>
      </c>
      <c r="C20" s="27">
        <v>63</v>
      </c>
      <c r="D20" s="27" t="s">
        <v>49</v>
      </c>
      <c r="E20" s="27">
        <v>100</v>
      </c>
      <c r="F20" s="28"/>
      <c r="G20">
        <f t="shared" si="0"/>
        <v>0</v>
      </c>
    </row>
    <row r="21" spans="1:7" x14ac:dyDescent="0.25">
      <c r="A21" s="27">
        <v>3</v>
      </c>
      <c r="B21" s="26">
        <f t="shared" si="2"/>
        <v>69</v>
      </c>
      <c r="C21" s="27">
        <v>75</v>
      </c>
      <c r="D21" s="27" t="s">
        <v>50</v>
      </c>
      <c r="E21" s="27">
        <v>100</v>
      </c>
      <c r="F21" s="28"/>
      <c r="G21">
        <f t="shared" si="0"/>
        <v>0</v>
      </c>
    </row>
    <row r="22" spans="1:7" x14ac:dyDescent="0.25">
      <c r="A22" s="27">
        <v>4</v>
      </c>
      <c r="B22" s="26">
        <f t="shared" si="2"/>
        <v>84</v>
      </c>
      <c r="C22" s="27">
        <v>90</v>
      </c>
      <c r="D22" s="27" t="s">
        <v>51</v>
      </c>
      <c r="E22" s="27">
        <v>100</v>
      </c>
      <c r="F22" s="28"/>
      <c r="G22">
        <f t="shared" si="0"/>
        <v>0</v>
      </c>
    </row>
    <row r="23" spans="1:7" x14ac:dyDescent="0.25">
      <c r="A23" s="27">
        <v>5</v>
      </c>
      <c r="B23" s="26">
        <f t="shared" si="2"/>
        <v>104</v>
      </c>
      <c r="C23" s="27">
        <v>110</v>
      </c>
      <c r="D23" s="27" t="s">
        <v>52</v>
      </c>
      <c r="E23" s="27">
        <v>100</v>
      </c>
      <c r="F23" s="28"/>
      <c r="G23">
        <f t="shared" si="0"/>
        <v>0</v>
      </c>
    </row>
    <row r="24" spans="1:7" x14ac:dyDescent="0.25">
      <c r="A24" s="27">
        <v>6</v>
      </c>
      <c r="B24" s="26">
        <f t="shared" si="2"/>
        <v>119</v>
      </c>
      <c r="C24" s="27">
        <v>125</v>
      </c>
      <c r="D24" s="27" t="s">
        <v>53</v>
      </c>
      <c r="E24" s="27">
        <v>100</v>
      </c>
      <c r="F24" s="28"/>
      <c r="G24">
        <f t="shared" si="0"/>
        <v>0</v>
      </c>
    </row>
    <row r="25" spans="1:7" x14ac:dyDescent="0.25">
      <c r="A25" s="27">
        <v>7</v>
      </c>
      <c r="B25" s="26">
        <f t="shared" si="2"/>
        <v>134</v>
      </c>
      <c r="C25" s="27">
        <v>140</v>
      </c>
      <c r="D25" s="27" t="s">
        <v>54</v>
      </c>
      <c r="E25" s="27">
        <v>100</v>
      </c>
      <c r="F25" s="28"/>
      <c r="G25">
        <f t="shared" si="0"/>
        <v>0</v>
      </c>
    </row>
    <row r="26" spans="1:7" x14ac:dyDescent="0.25">
      <c r="A26" s="27">
        <v>8</v>
      </c>
      <c r="B26" s="26">
        <f t="shared" si="2"/>
        <v>154</v>
      </c>
      <c r="C26" s="27">
        <v>160</v>
      </c>
      <c r="D26" s="27" t="s">
        <v>55</v>
      </c>
      <c r="E26" s="27">
        <v>100</v>
      </c>
      <c r="F26" s="28"/>
      <c r="G26">
        <f t="shared" si="0"/>
        <v>0</v>
      </c>
    </row>
    <row r="27" spans="1:7" x14ac:dyDescent="0.25">
      <c r="A27" s="27">
        <v>9</v>
      </c>
      <c r="B27" s="26">
        <f t="shared" si="2"/>
        <v>174</v>
      </c>
      <c r="C27" s="27">
        <v>180</v>
      </c>
      <c r="D27" s="27" t="s">
        <v>56</v>
      </c>
      <c r="E27" s="27">
        <v>100</v>
      </c>
      <c r="F27" s="28"/>
      <c r="G27">
        <f t="shared" si="0"/>
        <v>0</v>
      </c>
    </row>
    <row r="28" spans="1:7" x14ac:dyDescent="0.25">
      <c r="A28" s="27">
        <v>10</v>
      </c>
      <c r="B28" s="26">
        <f t="shared" si="2"/>
        <v>194</v>
      </c>
      <c r="C28" s="27">
        <v>200</v>
      </c>
      <c r="D28" s="27" t="s">
        <v>57</v>
      </c>
      <c r="E28" s="27">
        <v>100</v>
      </c>
      <c r="F28" s="28"/>
      <c r="G28">
        <f t="shared" si="0"/>
        <v>0</v>
      </c>
    </row>
    <row r="29" spans="1:7" x14ac:dyDescent="0.25">
      <c r="A29" s="27">
        <v>11</v>
      </c>
      <c r="B29" s="26">
        <f t="shared" si="2"/>
        <v>244</v>
      </c>
      <c r="C29" s="27">
        <v>250</v>
      </c>
      <c r="D29" s="27" t="s">
        <v>58</v>
      </c>
      <c r="E29" s="27">
        <v>100</v>
      </c>
      <c r="F29" s="28"/>
      <c r="G29">
        <f t="shared" si="0"/>
        <v>0</v>
      </c>
    </row>
    <row r="30" spans="1:7" x14ac:dyDescent="0.25">
      <c r="A30" s="27">
        <v>12</v>
      </c>
      <c r="B30" s="26">
        <f t="shared" si="2"/>
        <v>309</v>
      </c>
      <c r="C30" s="27">
        <v>315</v>
      </c>
      <c r="D30" s="27" t="s">
        <v>59</v>
      </c>
      <c r="E30" s="27">
        <v>100</v>
      </c>
      <c r="F30" s="28"/>
      <c r="G30">
        <f t="shared" si="0"/>
        <v>0</v>
      </c>
    </row>
    <row r="31" spans="1:7" x14ac:dyDescent="0.25">
      <c r="A31" s="27">
        <v>13</v>
      </c>
      <c r="B31" s="26">
        <f t="shared" si="2"/>
        <v>349</v>
      </c>
      <c r="C31" s="27">
        <v>355</v>
      </c>
      <c r="D31" s="27" t="s">
        <v>60</v>
      </c>
      <c r="E31" s="27">
        <v>100</v>
      </c>
      <c r="F31" s="28"/>
      <c r="G31">
        <f t="shared" si="0"/>
        <v>0</v>
      </c>
    </row>
    <row r="32" spans="1:7" x14ac:dyDescent="0.25">
      <c r="A32" s="27">
        <v>14</v>
      </c>
      <c r="B32" s="26">
        <f t="shared" si="2"/>
        <v>394</v>
      </c>
      <c r="C32" s="27">
        <v>400</v>
      </c>
      <c r="D32" s="27" t="s">
        <v>61</v>
      </c>
      <c r="E32" s="27">
        <v>100</v>
      </c>
      <c r="F32" s="28"/>
      <c r="G32">
        <f t="shared" si="0"/>
        <v>0</v>
      </c>
    </row>
    <row r="33" spans="1:7" x14ac:dyDescent="0.25">
      <c r="A33" s="27">
        <v>15</v>
      </c>
      <c r="B33" s="26">
        <f t="shared" si="2"/>
        <v>494</v>
      </c>
      <c r="C33" s="27">
        <v>500</v>
      </c>
      <c r="D33" s="27" t="s">
        <v>62</v>
      </c>
      <c r="E33" s="27">
        <v>100</v>
      </c>
      <c r="F33" s="28"/>
      <c r="G33">
        <f t="shared" si="0"/>
        <v>0</v>
      </c>
    </row>
    <row r="34" spans="1:7" x14ac:dyDescent="0.25">
      <c r="A34" s="27">
        <v>16</v>
      </c>
      <c r="B34" s="26">
        <f t="shared" si="2"/>
        <v>594</v>
      </c>
      <c r="C34" s="27">
        <v>600</v>
      </c>
      <c r="D34" s="27" t="s">
        <v>63</v>
      </c>
      <c r="E34" s="27">
        <v>100</v>
      </c>
      <c r="F34" s="28"/>
      <c r="G34">
        <f t="shared" si="0"/>
        <v>0</v>
      </c>
    </row>
    <row r="35" spans="1:7" x14ac:dyDescent="0.25">
      <c r="F35" s="29">
        <v>6</v>
      </c>
      <c r="G35" s="4">
        <f>MAX(G2:G18)</f>
        <v>0</v>
      </c>
    </row>
    <row r="36" spans="1:7" x14ac:dyDescent="0.25">
      <c r="F36" s="29">
        <v>10</v>
      </c>
      <c r="G36" s="4">
        <f>MAX(G19:G34)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 y Resultado</vt:lpstr>
      <vt:lpstr>calculos</vt:lpstr>
      <vt:lpstr>PE</vt:lpstr>
      <vt:lpstr>Hoja1</vt:lpstr>
      <vt:lpstr>PE principal</vt:lpstr>
      <vt:lpstr>PE principal2</vt:lpstr>
      <vt:lpstr>Cristiansen</vt:lpstr>
      <vt:lpstr>Materiales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2021-01-04T01:59:47Z</dcterms:modified>
</cp:coreProperties>
</file>